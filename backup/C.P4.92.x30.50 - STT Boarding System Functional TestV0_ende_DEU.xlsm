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drawings/drawing2.xml" ContentType="application/vnd.openxmlformats-officedocument.drawing+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onnections.xml" ContentType="application/vnd.openxmlformats-officedocument.spreadsheetml.connections+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customXml/itemProps3.xml" ContentType="application/vnd.openxmlformats-officedocument.customXmlProperties+xml"/>
  <Override PartName="/customXml/itemProps4.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0" codeName="{00000000-0000-0000-0000-000000000000}"/>
  <workbookPr codeName="ThisWorkbook"/>
  <mc:AlternateContent xmlns:mc="http://schemas.openxmlformats.org/markup-compatibility/2006">
    <mc:Choice Requires="x15">
      <x15ac:absPath xmlns:x15ac="http://schemas.microsoft.com/office/spreadsheetml/2010/11/ac" url="C:\Users\71315\Desktop\LANZAMIENTOS\D0000006246\"/>
    </mc:Choice>
  </mc:AlternateContent>
  <xr:revisionPtr revIDLastSave="11" documentId="13_ncr:1_{98C1BD40-BBB1-4BAC-83F8-B682FDFD92A2}" xr6:coauthVersionLast="47" xr6:coauthVersionMax="47" xr10:uidLastSave="{B5EF4648-D3CB-4B0D-A3BF-8A289D8D1FC5}"/>
  <bookViews>
    <workbookView xWindow="-120" yWindow="-120" windowWidth="29040" windowHeight="15840" activeTab="1" xr2:uid="{00000000-000D-0000-FFFF-FFFF00000000}"/>
  </bookViews>
  <sheets>
    <sheet name="Auswahl" sheetId="4" r:id="rId1"/>
    <sheet name="Protocolo" sheetId="3" r:id="rId2"/>
  </sheets>
  <definedNames>
    <definedName name="_xlnm._FilterDatabase" localSheetId="1" hidden="1">Protocolo!$L$4:$N$248</definedName>
    <definedName name="_xlnm.Print_Area" localSheetId="1">Protocolo!$A$1:$K$248</definedName>
    <definedName name="CODIGO">Auswahl!$C$8</definedName>
    <definedName name="Comply">Protocolo!#REF!</definedName>
    <definedName name="DESCRIPCION">Auswahl!$D$8</definedName>
    <definedName name="DESTINO" comment="Interno">Auswahl!$F$9</definedName>
    <definedName name="Doc_Code">#REF!</definedName>
    <definedName name="Doc_Edition">#REF!</definedName>
    <definedName name="Doc_Title">#REF!</definedName>
    <definedName name="EDICION">Auswahl!$F$10</definedName>
    <definedName name="IDIOMA">Auswahl!$C$9</definedName>
    <definedName name="ORIGEN">Auswahl!$C$2</definedName>
    <definedName name="TIPO_SERIE" comment="T=TIPO">Auswahl!$F$8</definedName>
    <definedName name="_xlnm.Print_Titles" localSheetId="1">Protocolo!$1:$4</definedName>
    <definedName name="VERSION">Auswahl!$C$3</definedName>
    <definedName name="Z_679FD0CE_2012_48DA_8FD1_A9E8B9F8F1E8_.wvu.Cols" localSheetId="1" hidden="1">Protocolo!$C:$C,Protocolo!$E:$E</definedName>
    <definedName name="Z_679FD0CE_2012_48DA_8FD1_A9E8B9F8F1E8_.wvu.FilterData" localSheetId="1" hidden="1">Protocolo!$L$4:$N$216</definedName>
    <definedName name="Z_679FD0CE_2012_48DA_8FD1_A9E8B9F8F1E8_.wvu.PrintArea" localSheetId="1" hidden="1">Protocolo!$A$1:$K$216</definedName>
    <definedName name="Z_679FD0CE_2012_48DA_8FD1_A9E8B9F8F1E8_.wvu.PrintTitles" localSheetId="1" hidden="1">Protocolo!$1:$4</definedName>
    <definedName name="Z_679FD0CE_2012_48DA_8FD1_A9E8B9F8F1E8_.wvu.Rows" localSheetId="1" hidden="1">Protocolo!#REF!,Protocolo!#REF!,Protocolo!$87:$89,Protocolo!$91:$98,Protocolo!#REF!,Protocolo!#REF!,Protocolo!#REF!,Protocolo!#REF!,Protocolo!#REF!,Protocolo!#REF!,Protocolo!#REF!,Protocolo!#REF!,Protocolo!$101:$107,Protocolo!$109:$115,Protocolo!#REF!,Protocolo!#REF!,Protocolo!#REF!,Protocolo!#REF!,Protocolo!#REF!,Protocolo!$118:$118,Protocolo!$152:$154,Protocolo!$156:$162,Protocolo!#REF!,Protocolo!#REF!,Protocolo!#REF!,Protocolo!#REF!,Protocolo!#REF!,Protocolo!#REF!,Protocolo!#REF!,Protocolo!#REF!,Protocolo!#REF!,Protocolo!#REF!,Protocolo!#REF!,Protocolo!#REF!,Protocolo!#REF!,Protocolo!#REF!,Protocolo!#REF!,Protocolo!#REF!,Protocolo!#REF!,Protocolo!#REF!,Protocolo!#REF!,Protocolo!#REF!,Protocolo!$165:$170,Protocolo!#REF!,Protocolo!#REF!</definedName>
    <definedName name="Z_875B12CB_D765_4B4E_B887_579DC68A406E_.wvu.Cols" localSheetId="1" hidden="1">Protocolo!$D:$D,Protocolo!$F:$F</definedName>
    <definedName name="Z_875B12CB_D765_4B4E_B887_579DC68A406E_.wvu.FilterData" localSheetId="1" hidden="1">Protocolo!$L$4:$N$216</definedName>
    <definedName name="Z_875B12CB_D765_4B4E_B887_579DC68A406E_.wvu.PrintArea" localSheetId="1" hidden="1">Protocolo!$A$1:$K$216</definedName>
    <definedName name="Z_875B12CB_D765_4B4E_B887_579DC68A406E_.wvu.PrintTitles" localSheetId="1" hidden="1">Protocolo!$1:$4</definedName>
    <definedName name="Z_875B12CB_D765_4B4E_B887_579DC68A406E_.wvu.Rows" localSheetId="1" hidden="1">Protocolo!#REF!,Protocolo!#REF!,Protocolo!$87:$89,Protocolo!$91:$98,Protocolo!#REF!,Protocolo!#REF!,Protocolo!#REF!,Protocolo!#REF!,Protocolo!#REF!,Protocolo!#REF!,Protocolo!#REF!,Protocolo!#REF!,Protocolo!$101:$107,Protocolo!$109:$115,Protocolo!#REF!,Protocolo!#REF!,Protocolo!#REF!,Protocolo!#REF!,Protocolo!#REF!,Protocolo!$118:$118,Protocolo!$152:$154,Protocolo!$156:$162,Protocolo!#REF!,Protocolo!#REF!,Protocolo!#REF!,Protocolo!#REF!,Protocolo!#REF!,Protocolo!#REF!,Protocolo!#REF!,Protocolo!#REF!,Protocolo!#REF!,Protocolo!#REF!,Protocolo!#REF!,Protocolo!#REF!,Protocolo!#REF!,Protocolo!#REF!,Protocolo!#REF!,Protocolo!#REF!,Protocolo!#REF!,Protocolo!#REF!,Protocolo!#REF!,Protocolo!#REF!,Protocolo!$165:$170,Protocolo!#REF!,Protocolo!#REF!</definedName>
    <definedName name="Z_E42546AF_4D45_4F91_B7CA_C06252817378_.wvu.FilterData" localSheetId="1" hidden="1">Protocolo!$L$4:$N$216</definedName>
    <definedName name="Z_E42546AF_4D45_4F91_B7CA_C06252817378_.wvu.PrintArea" localSheetId="1" hidden="1">Protocolo!$A$1:$K$216</definedName>
    <definedName name="Z_E42546AF_4D45_4F91_B7CA_C06252817378_.wvu.PrintTitles" localSheetId="1" hidden="1">Protocolo!$1:$4</definedName>
  </definedNames>
  <calcPr calcId="191028"/>
  <customWorkbookViews>
    <customWorkbookView name="Ingles" guid="{875B12CB-D765-4B4E-B887-579DC68A406E}" maximized="1" xWindow="1912" yWindow="-8" windowWidth="1936" windowHeight="1176" activeSheetId="3"/>
    <customWorkbookView name="Aleman" guid="{679FD0CE-2012-48DA-8FD1-A9E8B9F8F1E8}" maximized="1" xWindow="1912" yWindow="-8" windowWidth="1936" windowHeight="1176" activeSheetId="3"/>
    <customWorkbookView name="TODOS_IDIOMAS" guid="{E42546AF-4D45-4F91-B7CA-C06252817378}" maximized="1" xWindow="-1928" yWindow="-8" windowWidth="1936" windowHeight="1056" activeSheetId="3"/>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2" i="3" l="1"/>
  <c r="E2" i="3"/>
  <c r="B218" i="3"/>
  <c r="B219" i="3" s="1"/>
  <c r="B221" i="3" s="1"/>
  <c r="B222" i="3" s="1"/>
  <c r="B225" i="3" s="1"/>
  <c r="B226" i="3" s="1"/>
  <c r="B227" i="3" s="1"/>
  <c r="B229" i="3" s="1"/>
  <c r="B230" i="3" s="1"/>
  <c r="B233" i="3" s="1"/>
  <c r="B234" i="3" s="1"/>
  <c r="B236" i="3"/>
  <c r="B237" i="3" s="1"/>
  <c r="B37" i="3"/>
  <c r="B38" i="3" s="1"/>
  <c r="B189" i="3"/>
  <c r="B190" i="3" s="1"/>
  <c r="B192" i="3" s="1"/>
  <c r="B193" i="3" s="1"/>
  <c r="B196" i="3" s="1"/>
  <c r="B197" i="3" s="1"/>
  <c r="B172" i="3"/>
  <c r="B173" i="3" s="1"/>
  <c r="B175" i="3" s="1"/>
  <c r="B241" i="3" l="1"/>
  <c r="B242" i="3" s="1"/>
  <c r="B245" i="3" s="1"/>
  <c r="B247" i="3" s="1"/>
  <c r="B39" i="3"/>
  <c r="B40" i="3" s="1"/>
  <c r="B41" i="3" s="1"/>
  <c r="B176" i="3"/>
  <c r="B179" i="3" s="1"/>
  <c r="B180" i="3" s="1"/>
  <c r="B7" i="3"/>
  <c r="B69" i="3"/>
  <c r="B70" i="3" s="1"/>
  <c r="B71" i="3" s="1"/>
  <c r="B73" i="3" s="1"/>
  <c r="B74" i="3" s="1"/>
  <c r="B75" i="3" s="1"/>
  <c r="B44" i="3" l="1"/>
  <c r="B45" i="3" s="1"/>
  <c r="B46" i="3" s="1"/>
  <c r="B47" i="3" s="1"/>
  <c r="B77" i="3"/>
  <c r="B78" i="3" s="1"/>
  <c r="B79" i="3" s="1"/>
  <c r="B81" i="3" s="1"/>
  <c r="B82" i="3" s="1"/>
  <c r="B83" i="3" s="1"/>
  <c r="B85" i="3" s="1"/>
  <c r="B8" i="3"/>
  <c r="B9" i="3" s="1"/>
  <c r="B10" i="3" s="1"/>
  <c r="B11" i="3" s="1"/>
  <c r="B200" i="3"/>
  <c r="B201" i="3" s="1"/>
  <c r="B203" i="3" s="1"/>
  <c r="B12" i="3" l="1"/>
  <c r="B13" i="3" s="1"/>
  <c r="B204" i="3"/>
  <c r="B182" i="3"/>
  <c r="B183" i="3" s="1"/>
  <c r="B184" i="3" s="1"/>
  <c r="B185" i="3" s="1"/>
  <c r="B186" i="3" s="1"/>
  <c r="B187" i="3" s="1"/>
  <c r="B165" i="3"/>
  <c r="B166" i="3" s="1"/>
  <c r="B167" i="3" s="1"/>
  <c r="B168" i="3" s="1"/>
  <c r="B152" i="3"/>
  <c r="B153" i="3" s="1"/>
  <c r="B154" i="3" s="1"/>
  <c r="B155" i="3" s="1"/>
  <c r="B156" i="3" s="1"/>
  <c r="B157" i="3" s="1"/>
  <c r="B158" i="3" s="1"/>
  <c r="B160" i="3" s="1"/>
  <c r="B118" i="3"/>
  <c r="B119" i="3" s="1"/>
  <c r="B122" i="3" s="1"/>
  <c r="B125" i="3" s="1"/>
  <c r="B128" i="3" s="1"/>
  <c r="B129" i="3" s="1"/>
  <c r="B130" i="3" s="1"/>
  <c r="B132" i="3" s="1"/>
  <c r="B133" i="3" s="1"/>
  <c r="B135" i="3" s="1"/>
  <c r="B136" i="3" s="1"/>
  <c r="B138" i="3" s="1"/>
  <c r="B139" i="3" s="1"/>
  <c r="B141" i="3" s="1"/>
  <c r="B142" i="3" s="1"/>
  <c r="B144" i="3" s="1"/>
  <c r="B145" i="3" s="1"/>
  <c r="B147" i="3" s="1"/>
  <c r="B148" i="3" s="1"/>
  <c r="B150" i="3" s="1"/>
  <c r="B109" i="3"/>
  <c r="B110" i="3" s="1"/>
  <c r="B111" i="3" s="1"/>
  <c r="B112" i="3" s="1"/>
  <c r="B113" i="3" s="1"/>
  <c r="B114" i="3" s="1"/>
  <c r="B115" i="3" s="1"/>
  <c r="B101" i="3"/>
  <c r="B102" i="3" s="1"/>
  <c r="B103" i="3" s="1"/>
  <c r="B104" i="3" s="1"/>
  <c r="B105" i="3" s="1"/>
  <c r="B106" i="3" s="1"/>
  <c r="B107" i="3" s="1"/>
  <c r="B87" i="3"/>
  <c r="B88" i="3" s="1"/>
  <c r="B89" i="3" s="1"/>
  <c r="B90" i="3" s="1"/>
  <c r="B91" i="3" s="1"/>
  <c r="B92" i="3" s="1"/>
  <c r="B93" i="3" s="1"/>
  <c r="B94" i="3" s="1"/>
  <c r="B95" i="3" s="1"/>
  <c r="B96" i="3" s="1"/>
  <c r="B97" i="3" s="1"/>
  <c r="B98" i="3" s="1"/>
  <c r="B51" i="3"/>
  <c r="B52" i="3" s="1"/>
  <c r="B53" i="3" s="1"/>
  <c r="B55" i="3" s="1"/>
  <c r="B56" i="3" s="1"/>
  <c r="B57" i="3" s="1"/>
  <c r="B207" i="3" l="1"/>
  <c r="B208" i="3" s="1"/>
  <c r="B209" i="3" s="1"/>
  <c r="B211" i="3" s="1"/>
  <c r="B212" i="3" s="1"/>
  <c r="B215" i="3" s="1"/>
  <c r="B216" i="3" s="1"/>
  <c r="B59" i="3"/>
  <c r="B60" i="3" s="1"/>
  <c r="B61" i="3" s="1"/>
  <c r="B63" i="3" s="1"/>
  <c r="B64" i="3" s="1"/>
  <c r="B65" i="3" s="1"/>
  <c r="B67" i="3" s="1"/>
  <c r="B16" i="3"/>
  <c r="B17" i="3" s="1"/>
  <c r="B18" i="3" s="1"/>
  <c r="B19" i="3" s="1"/>
  <c r="B20" i="3" s="1"/>
  <c r="B23" i="3" s="1"/>
  <c r="B24" i="3" s="1"/>
  <c r="B161" i="3"/>
  <c r="B162" i="3" s="1"/>
  <c r="B169" i="3" l="1"/>
  <c r="B170" i="3" s="1"/>
  <c r="B25" i="3"/>
  <c r="F10" i="4"/>
  <c r="D8" i="4"/>
  <c r="K1" i="3"/>
  <c r="B26" i="3" l="1"/>
  <c r="B27" i="3" s="1"/>
  <c r="F9" i="4"/>
  <c r="F8" i="4"/>
  <c r="F2" i="3"/>
  <c r="B28" i="3" l="1"/>
  <c r="B29" i="3" s="1"/>
  <c r="B30" i="3" s="1"/>
  <c r="B31" i="3" s="1"/>
  <c r="B32" i="3" s="1"/>
  <c r="B33"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tc={372B6492-3FF5-45E0-B8B2-F3D8524FA49A}</author>
    <author>tc={23761429-A9F1-4558-931C-2FC711075BA8}</author>
    <author>tc={690CD396-538C-46C9-928C-5D49D1B8A7C9}</author>
    <author>tc={3896FB4C-B22B-4C9F-9706-66E0921BE996}</author>
    <author>tc={79744C22-EE43-4B95-B94A-6BBE430B199E}</author>
    <author>tc={E0BE05A7-9C8C-4200-A0CA-697FB4062693}</author>
    <author>tc={974B24EE-B30D-46C9-A8E3-DA67969FAED1}</author>
    <author>tc={CB8A25B1-6B7E-45A6-B79D-1AD92A1DBE32}</author>
    <author>tc={D2B8AFCD-0438-4D55-95E9-53025B27EE6D}</author>
    <author>tc={507DA476-5CDD-42FD-84A7-A25162C8DCF3}</author>
    <author>tc={7802F561-642D-4805-9CD4-DE172D9B9E28}</author>
    <author>tc={F574C29D-85E5-4134-9F39-1B0FC2F010ED}</author>
    <author>tc={110A5B1F-A776-40C3-A77E-A2612CE83978}</author>
    <author>tc={1CFA9210-A46F-47D5-BE95-D90C8FC5EBAA}</author>
    <author>tc={9774C6F9-28C1-4DB5-8501-A9FFBAA0234F}</author>
    <author>tc={D919A300-1177-4F6E-9690-BC0E7AAFA2B3}</author>
    <author>tc={408EF3DD-B315-4125-B8E9-56563605871D}</author>
    <author>tc={ADF557F8-9560-4609-8F66-8D355B03B9A1}</author>
    <author>tc={D267A3E6-A22C-40BF-A064-2839BA0B77A4}</author>
    <author>tc={8E837738-5DFF-4C1B-AC9A-6CC9A7D8D8E4}</author>
    <author>tc={E0EFACE6-7E68-40B4-AACA-E98953CC6ADA}</author>
    <author>tc={5B6CE38B-FD06-4835-8CC8-FCCE87F04935}</author>
    <author>tc={A6E60E48-2B8E-4D8C-8D44-08D663E683BB}</author>
    <author>tc={209A2AA5-6D96-4F8B-A0CA-9DED5B02A18B}</author>
    <author>tc={CB1C4A04-4130-44A8-A57B-A3E4A9BFAD3E}</author>
    <author>tc={6822DD49-165E-4924-AE03-DF3AEF8449A6}</author>
    <author>tc={693DD1DE-7A21-42B0-BC1A-4BA27DA94A6F}</author>
    <author>tc={77440B48-138D-41C8-89E0-786D52F3DABD}</author>
    <author>tc={0CB9E7E2-118D-4781-AAF5-72D9A09A5DF8}</author>
    <author>tc={B6F89704-8CA3-42DE-A333-C4721E376286}</author>
    <author>tc={470A16D6-1BE0-416A-BBEA-72E141AF0459}</author>
    <author>tc={268422F0-321A-44A2-9EB6-79042DDD3F2C}</author>
  </authors>
  <commentList>
    <comment ref="C9" authorId="0" shapeId="0" xr:uid="{00000000-0006-0000-0100-000001000000}">
      <text>
        <t xml:space="preserve">[Threaded comment]
Your version of Excel allows you to read this threaded comment; however, any edits to it will get removed if the file is opened in a newer version of Excel. Learn more: https://go.microsoft.com/fwlink/?linkid=870924
Comment:
    Provide separate steps for left and right doors
Reply:
    Split for Left &amp; Right side. </t>
      </text>
    </comment>
    <comment ref="D9" authorId="1" shapeId="0" xr:uid="{23761429-A9F1-4558-931C-2FC711075BA8}">
      <text>
        <t xml:space="preserve">[Threaded comment]
Your version of Excel allows you to read this threaded comment; however, any edits to it will get removed if the file is opened in a newer version of Excel. Learn more: https://go.microsoft.com/fwlink/?linkid=870924
Comment:
    Provide separate steps for left and right doors
Reply:
    Split for Left &amp; Right side. </t>
      </text>
    </comment>
    <comment ref="C11" authorId="2"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After this step, wait for 5 seconds to check all doors are closed back again automatically.
Reply:
    Added the step.</t>
      </text>
    </comment>
    <comment ref="D11" authorId="3" shapeId="0" xr:uid="{3896FB4C-B22B-4C9F-9706-66E0921BE996}">
      <text>
        <t>[Threaded comment]
Your version of Excel allows you to read this threaded comment; however, any edits to it will get removed if the file is opened in a newer version of Excel. Learn more: https://go.microsoft.com/fwlink/?linkid=870924
Comment:
    After this step, wait for 5 seconds to check all doors are closed back again automatically.
Reply:
    Added the step.</t>
      </text>
    </comment>
    <comment ref="C23" authorId="4"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Split the steps for Left and RIGHT doors.
Reply:
    Done</t>
      </text>
    </comment>
    <comment ref="D23" authorId="5" shapeId="0" xr:uid="{E0BE05A7-9C8C-4200-A0CA-697FB4062693}">
      <text>
        <t>[Threaded comment]
Your version of Excel allows you to read this threaded comment; however, any edits to it will get removed if the file is opened in a newer version of Excel. Learn more: https://go.microsoft.com/fwlink/?linkid=870924
Comment:
    Split the steps for Left and RIGHT doors.
Reply:
    Done</t>
      </text>
    </comment>
    <comment ref="C33" authorId="6"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Once doors are closed the selected side shall also be lost, it is not necessary to press again the side select pushbutton to unselect the doors.
Reply:
    Updated this step.</t>
      </text>
    </comment>
    <comment ref="D33" authorId="7" shapeId="0" xr:uid="{CB8A25B1-6B7E-45A6-B79D-1AD92A1DBE32}">
      <text>
        <t>[Threaded comment]
Your version of Excel allows you to read this threaded comment; however, any edits to it will get removed if the file is opened in a newer version of Excel. Learn more: https://go.microsoft.com/fwlink/?linkid=870924
Comment:
    Once doors are closed the selected side shall also be lost, it is not necessary to press again the side select pushbutton to unselect the doors.
Reply:
    Updated this step.</t>
      </text>
    </comment>
    <comment ref="C57" authorId="8"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
Reply:
    Done.</t>
      </text>
    </comment>
    <comment ref="D57" authorId="9" shapeId="0" xr:uid="{507DA476-5CDD-42FD-84A7-A25162C8DCF3}">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
Reply:
    Done.</t>
      </text>
    </comment>
    <comment ref="C65" authorId="10"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
Reply:
    Done.</t>
      </text>
    </comment>
    <comment ref="D65" authorId="11" shapeId="0" xr:uid="{F574C29D-85E5-4134-9F39-1B0FC2F010ED}">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
Reply:
    Done.</t>
      </text>
    </comment>
    <comment ref="C75" authorId="12"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
Reply:
    Done.</t>
      </text>
    </comment>
    <comment ref="D75" authorId="13" shapeId="0" xr:uid="{1CFA9210-A46F-47D5-BE95-D90C8FC5EBAA}">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
Reply:
    Done.</t>
      </text>
    </comment>
    <comment ref="C83" authorId="14" shapeId="0" xr:uid="{00000000-0006-0000-0100-000008000000}">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
Reply:
    Done.</t>
      </text>
    </comment>
    <comment ref="D83" authorId="15" shapeId="0" xr:uid="{D919A300-1177-4F6E-9690-BC0E7AAFA2B3}">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
Reply:
    Done.</t>
      </text>
    </comment>
    <comment ref="C122" authorId="16" shapeId="0" xr:uid="{00000000-0006-0000-0100-000009000000}">
      <text>
        <t>[Threaded comment]
Your version of Excel allows you to read this threaded comment; however, any edits to it will get removed if the file is opened in a newer version of Excel. Learn more: https://go.microsoft.com/fwlink/?linkid=870924
Comment:
    Necessary to check at least once that all the doors are correct wired in the loop. Thus this step shall be repeated for all the doors. The one to check the bypass can be done just one time.
Reply:
    Elaborated the steps for all doors after checking the bypass.</t>
      </text>
    </comment>
    <comment ref="D122" authorId="17" shapeId="0" xr:uid="{ADF557F8-9560-4609-8F66-8D355B03B9A1}">
      <text>
        <t>[Threaded comment]
Your version of Excel allows you to read this threaded comment; however, any edits to it will get removed if the file is opened in a newer version of Excel. Learn more: https://go.microsoft.com/fwlink/?linkid=870924
Comment:
    Necessary to check at least once that all the doors are correct wired in the loop. Thus this step shall be repeated for all the doors. The one to check the bypass can be done just one time.
Reply:
    Elaborated the steps for all doors after checking the bypass.</t>
      </text>
    </comment>
    <comment ref="C169" authorId="18" shapeId="0" xr:uid="{00000000-0006-0000-0100-00000A000000}">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t>
      </text>
    </comment>
    <comment ref="D169" authorId="19" shapeId="0" xr:uid="{8E837738-5DFF-4C1B-AC9A-6CC9A7D8D8E4}">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t>
      </text>
    </comment>
    <comment ref="E173" authorId="20" shapeId="0" xr:uid="{00000000-0006-0000-0100-00000B000000}">
      <text>
        <t>[Threaded comment]
Your version of Excel allows you to read this threaded comment; however, any edits to it will get removed if the file is opened in a newer version of Excel. Learn more: https://go.microsoft.com/fwlink/?linkid=870924
Comment:
    Stop request will be indicated if the Stop request is pressed before than releasing the doors. Same applies to the message in the interior displays.</t>
      </text>
    </comment>
    <comment ref="F173" authorId="21" shapeId="0" xr:uid="{5B6CE38B-FD06-4835-8CC8-FCCE87F04935}">
      <text>
        <t>[Threaded comment]
Your version of Excel allows you to read this threaded comment; however, any edits to it will get removed if the file is opened in a newer version of Excel. Learn more: https://go.microsoft.com/fwlink/?linkid=870924
Comment:
    Stop request will be indicated if the Stop request is pressed before than releasing the doors. Same applies to the message in the interior displays.</t>
      </text>
    </comment>
    <comment ref="C179" authorId="22" shapeId="0" xr:uid="{00000000-0006-0000-0100-00000C000000}">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t>
      </text>
    </comment>
    <comment ref="D179" authorId="23" shapeId="0" xr:uid="{209A2AA5-6D96-4F8B-A0CA-9DED5B02A18B}">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t>
      </text>
    </comment>
    <comment ref="C186" authorId="24" shapeId="0" xr:uid="{00000000-0006-0000-0100-00000D000000}">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t>
      </text>
    </comment>
    <comment ref="D186" authorId="25" shapeId="0" xr:uid="{6822DD49-165E-4924-AE03-DF3AEF8449A6}">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t>
      </text>
    </comment>
    <comment ref="E190" authorId="26" shapeId="0" xr:uid="{00000000-0006-0000-0100-00000E000000}">
      <text>
        <t>[Threaded comment]
Your version of Excel allows you to read this threaded comment; however, any edits to it will get removed if the file is opened in a newer version of Excel. Learn more: https://go.microsoft.com/fwlink/?linkid=870924
Comment:
    Stop request will be indicated if the Stop request is pressed before than releasing the doors. Same applies to the message in the interior displays.</t>
      </text>
    </comment>
    <comment ref="F190" authorId="27" shapeId="0" xr:uid="{77440B48-138D-41C8-89E0-786D52F3DABD}">
      <text>
        <t>[Threaded comment]
Your version of Excel allows you to read this threaded comment; however, any edits to it will get removed if the file is opened in a newer version of Excel. Learn more: https://go.microsoft.com/fwlink/?linkid=870924
Comment:
    Stop request will be indicated if the Stop request is pressed before than releasing the doors. Same applies to the message in the interior displays.</t>
      </text>
    </comment>
    <comment ref="C196" authorId="28" shapeId="0" xr:uid="{00000000-0006-0000-0100-00000F000000}">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t>
      </text>
    </comment>
    <comment ref="D196" authorId="29" shapeId="0" xr:uid="{B6F89704-8CA3-42DE-A333-C4721E376286}">
      <text>
        <t>[Threaded comment]
Your version of Excel allows you to read this threaded comment; however, any edits to it will get removed if the file is opened in a newer version of Excel. Learn more: https://go.microsoft.com/fwlink/?linkid=870924
Comment:
    Delay time for closing is a door parameter, maybe is better to include as a parameter, CLOSE_DELAY _TIME and to include in a list of parameters in the cover sheet.</t>
      </text>
    </comment>
    <comment ref="C199" authorId="30" shapeId="0" xr:uid="{00000000-0006-0000-0100-000010000000}">
      <text>
        <t>[Threaded comment]
Your version of Excel allows you to read this threaded comment; however, any edits to it will get removed if the file is opened in a newer version of Excel. Learn more: https://go.microsoft.com/fwlink/?linkid=870924
Comment:
    Repeat the steps for all PMR pushbuttons in the vehicle.
Reply:
    There is only one PMR pushbutton per Car. It has been advised to repeat the test from both C1 &amp; C2</t>
      </text>
    </comment>
    <comment ref="D199" authorId="31" shapeId="0" xr:uid="{268422F0-321A-44A2-9EB6-79042DDD3F2C}">
      <text>
        <t>[Threaded comment]
Your version of Excel allows you to read this threaded comment; however, any edits to it will get removed if the file is opened in a newer version of Excel. Learn more: https://go.microsoft.com/fwlink/?linkid=870924
Comment:
    Repeat the steps for all PMR pushbuttons in the vehicle.
Reply:
    There is only one PMR pushbutton per Car. It has been advised to repeat the test from both C1 &amp; C2</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Consulta - INTERFACES___Content1678889359994" description="Conexión a la consulta 'INTERFACES___Content1678889359994' en el libro." type="5" refreshedVersion="0" background="1" saveData="1">
    <dbPr connection="Provider=Microsoft.Mashup.OleDb.1;Data Source=$Workbook$;Location=INTERFACES___Content1678889359994;Extended Properties=&quot;&quot;" command="SELECT * FROM [INTERFACES___Content1678889359994]"/>
  </connection>
</connections>
</file>

<file path=xl/sharedStrings.xml><?xml version="1.0" encoding="utf-8"?>
<sst xmlns="http://schemas.openxmlformats.org/spreadsheetml/2006/main" count="1368" uniqueCount="496">
  <si>
    <r>
      <rPr>
        <b/>
        <sz val="12"/>
        <rFont val="Arial"/>
        <family val="2"/>
      </rPr>
      <t>Document</t>
    </r>
  </si>
  <si>
    <r>
      <rPr>
        <sz val="12"/>
        <rFont val="Calibri"/>
        <family val="2"/>
        <scheme val="minor"/>
      </rPr>
      <t>#75.X30.50</t>
    </r>
  </si>
  <si>
    <r>
      <rPr>
        <b/>
        <sz val="12"/>
        <rFont val="Arial"/>
        <family val="2"/>
      </rPr>
      <t>VERSION</t>
    </r>
  </si>
  <si>
    <r>
      <rPr>
        <sz val="12"/>
        <rFont val="Calibri"/>
        <family val="2"/>
        <scheme val="minor"/>
      </rPr>
      <t>00</t>
    </r>
  </si>
  <si>
    <r>
      <rPr>
        <b/>
        <sz val="10"/>
        <rFont val="Arial"/>
        <family val="2"/>
      </rPr>
      <t>Procedure</t>
    </r>
  </si>
  <si>
    <t>D0000006246</t>
  </si>
  <si>
    <r>
      <rPr>
        <sz val="10"/>
        <rFont val="Arial"/>
        <family val="2"/>
      </rPr>
      <t>TIPO</t>
    </r>
  </si>
  <si>
    <r>
      <rPr>
        <b/>
        <sz val="10"/>
        <rFont val="Arial"/>
        <family val="2"/>
      </rPr>
      <t>Language</t>
    </r>
  </si>
  <si>
    <t>Ingles</t>
  </si>
  <si>
    <r>
      <rPr>
        <sz val="10"/>
        <rFont val="Arial"/>
        <family val="2"/>
      </rPr>
      <t>Destinatario</t>
    </r>
  </si>
  <si>
    <r>
      <rPr>
        <sz val="10"/>
        <rFont val="Arial"/>
        <family val="2"/>
      </rPr>
      <t>Edicion</t>
    </r>
  </si>
  <si>
    <r>
      <rPr>
        <b/>
        <sz val="12"/>
        <rFont val="Arial"/>
        <family val="2"/>
      </rPr>
      <t>Protocolo</t>
    </r>
  </si>
  <si>
    <r>
      <rPr>
        <b/>
        <sz val="12"/>
        <rFont val="Arial"/>
        <family val="2"/>
      </rPr>
      <t>Title</t>
    </r>
  </si>
  <si>
    <r>
      <rPr>
        <b/>
        <sz val="12"/>
        <rFont val="Arial"/>
        <family val="2"/>
      </rPr>
      <t>DEUTCH</t>
    </r>
  </si>
  <si>
    <r>
      <rPr>
        <b/>
        <sz val="12"/>
        <rFont val="Arial"/>
        <family val="2"/>
      </rPr>
      <t>Tipo</t>
    </r>
  </si>
  <si>
    <r>
      <rPr>
        <b/>
        <sz val="12"/>
        <rFont val="Arial"/>
        <family val="2"/>
      </rPr>
      <t>Destinatario</t>
    </r>
  </si>
  <si>
    <r>
      <rPr>
        <b/>
        <sz val="12"/>
        <rFont val="Arial"/>
        <family val="2"/>
      </rPr>
      <t>Revision</t>
    </r>
  </si>
  <si>
    <r>
      <rPr>
        <sz val="11"/>
        <color rgb="FF000000"/>
        <rFont val="Calibri"/>
        <family val="2"/>
        <scheme val="minor"/>
      </rPr>
      <t>D0000006246</t>
    </r>
  </si>
  <si>
    <t>Boarding System Functional Type test</t>
  </si>
  <si>
    <t>Einsteigesystem Funktionstest Typprüfung</t>
  </si>
  <si>
    <t>T</t>
  </si>
  <si>
    <r>
      <rPr>
        <sz val="10"/>
        <rFont val="Arial"/>
        <family val="2"/>
      </rPr>
      <t>Interno</t>
    </r>
  </si>
  <si>
    <r>
      <rPr>
        <sz val="10"/>
        <rFont val="Arial"/>
        <family val="2"/>
      </rPr>
      <t>-</t>
    </r>
  </si>
  <si>
    <r>
      <rPr>
        <sz val="11"/>
        <color rgb="FF000000"/>
        <rFont val="Calibri"/>
        <family val="2"/>
        <scheme val="minor"/>
      </rPr>
      <t>D0000017051</t>
    </r>
  </si>
  <si>
    <r>
      <rPr>
        <sz val="11"/>
        <color rgb="FF000000"/>
        <rFont val="Calibri"/>
        <family val="2"/>
        <scheme val="minor"/>
      </rPr>
      <t>Operational Test procedures</t>
    </r>
  </si>
  <si>
    <r>
      <rPr>
        <sz val="11"/>
        <color rgb="FF000000"/>
        <rFont val="Calibri"/>
        <family val="2"/>
        <scheme val="minor"/>
      </rPr>
      <t>Betriebliche Testverfahren</t>
    </r>
  </si>
  <si>
    <r>
      <rPr>
        <sz val="10"/>
        <rFont val="Arial"/>
        <family val="2"/>
      </rPr>
      <t>Cliente</t>
    </r>
  </si>
  <si>
    <r>
      <rPr>
        <sz val="11"/>
        <color rgb="FF000000"/>
        <rFont val="Calibri"/>
        <family val="2"/>
        <scheme val="minor"/>
      </rPr>
      <t>Test</t>
    </r>
  </si>
  <si>
    <r>
      <rPr>
        <sz val="11"/>
        <color rgb="FF000000"/>
        <rFont val="Calibri"/>
        <family val="2"/>
        <scheme val="minor"/>
      </rPr>
      <t>HOMOL</t>
    </r>
  </si>
  <si>
    <r>
      <rPr>
        <sz val="11"/>
        <color rgb="FF000000"/>
        <rFont val="Calibri"/>
        <family val="2"/>
        <scheme val="minor"/>
      </rPr>
      <t>Homol</t>
    </r>
  </si>
  <si>
    <r>
      <rPr>
        <sz val="10"/>
        <rFont val="Arial"/>
        <family val="2"/>
      </rPr>
      <t>T</t>
    </r>
  </si>
  <si>
    <r>
      <rPr>
        <sz val="10"/>
        <rFont val="Arial"/>
        <family val="2"/>
      </rPr>
      <t>Homologacion</t>
    </r>
  </si>
  <si>
    <r>
      <rPr>
        <sz val="11"/>
        <color rgb="FF000000"/>
        <rFont val="Calibri"/>
        <family val="2"/>
        <scheme val="minor"/>
      </rPr>
      <t>-</t>
    </r>
  </si>
  <si>
    <r>
      <rPr>
        <sz val="11"/>
        <color rgb="FF000000"/>
        <rFont val="Calibri"/>
        <family val="2"/>
        <scheme val="minor"/>
      </rPr>
      <t>D0000006251</t>
    </r>
  </si>
  <si>
    <r>
      <rPr>
        <sz val="11"/>
        <color rgb="FF000000"/>
        <rFont val="Calibri"/>
        <family val="2"/>
        <scheme val="minor"/>
      </rPr>
      <t>Boarding System Funct Routine test</t>
    </r>
  </si>
  <si>
    <t>Einsteigesystem Funktionstest Routineprüfung</t>
  </si>
  <si>
    <t>R</t>
  </si>
  <si>
    <r>
      <rPr>
        <sz val="11"/>
        <color rgb="FF000000"/>
        <rFont val="Calibri"/>
        <family val="2"/>
        <scheme val="minor"/>
      </rPr>
      <t>D0000017050</t>
    </r>
  </si>
  <si>
    <r>
      <rPr>
        <sz val="11"/>
        <color rgb="FF000000"/>
        <rFont val="Calibri"/>
        <family val="2"/>
        <scheme val="minor"/>
      </rPr>
      <t>Operational Routine Test procedures</t>
    </r>
  </si>
  <si>
    <r>
      <rPr>
        <sz val="11"/>
        <color rgb="FF000000"/>
        <rFont val="Calibri"/>
        <family val="2"/>
        <scheme val="minor"/>
      </rPr>
      <t>Betriebliche Routinetestverfahren</t>
    </r>
  </si>
  <si>
    <r>
      <rPr>
        <sz val="11"/>
        <color rgb="FF000000"/>
        <rFont val="Calibri"/>
        <family val="2"/>
        <scheme val="minor"/>
      </rPr>
      <t>TEST</t>
    </r>
  </si>
  <si>
    <r>
      <rPr>
        <b/>
        <sz val="14"/>
        <rFont val="HelveticaNeue"/>
      </rPr>
      <t>STT - vehicle management and set-up system</t>
    </r>
  </si>
  <si>
    <t xml:space="preserve">TEST AND TRIALS PROTOCOL </t>
  </si>
  <si>
    <r>
      <rPr>
        <b/>
        <sz val="16"/>
        <rFont val="HelveticaNeue"/>
      </rPr>
      <t>REV</t>
    </r>
  </si>
  <si>
    <r>
      <rPr>
        <b/>
        <sz val="16"/>
        <rFont val="HelveticaNeue"/>
      </rPr>
      <t>CODE:</t>
    </r>
  </si>
  <si>
    <r>
      <rPr>
        <b/>
        <sz val="11"/>
        <rFont val="HelveticaNeue"/>
      </rPr>
      <t>SEC.</t>
    </r>
  </si>
  <si>
    <r>
      <rPr>
        <b/>
        <sz val="11"/>
        <rFont val="HelveticaNeue"/>
      </rPr>
      <t>Nº</t>
    </r>
  </si>
  <si>
    <r>
      <rPr>
        <b/>
        <sz val="11"/>
        <rFont val="HelveticaNeue"/>
      </rPr>
      <t>ACTION</t>
    </r>
  </si>
  <si>
    <r>
      <rPr>
        <b/>
        <sz val="11"/>
        <rFont val="HelveticaNeue"/>
      </rPr>
      <t>AKTION</t>
    </r>
  </si>
  <si>
    <r>
      <rPr>
        <b/>
        <sz val="11"/>
        <rFont val="HelveticaNeue"/>
      </rPr>
      <t>EXPECTED RESULT</t>
    </r>
  </si>
  <si>
    <r>
      <rPr>
        <b/>
        <sz val="11"/>
        <rFont val="HelveticaNeue"/>
      </rPr>
      <t>ERWARTETE ERGEBNISSE</t>
    </r>
  </si>
  <si>
    <r>
      <rPr>
        <b/>
        <sz val="11"/>
        <rFont val="HelveticaNeue"/>
      </rPr>
      <t>AL Nº
VARIABLE</t>
    </r>
  </si>
  <si>
    <r>
      <rPr>
        <b/>
        <sz val="11"/>
        <rFont val="HelveticaNeue"/>
      </rPr>
      <t>RES. from
C1</t>
    </r>
  </si>
  <si>
    <r>
      <rPr>
        <b/>
        <sz val="11"/>
        <rFont val="HelveticaNeue"/>
      </rPr>
      <t>RES. from
C2</t>
    </r>
  </si>
  <si>
    <r>
      <rPr>
        <b/>
        <sz val="11"/>
        <rFont val="HelveticaNeue"/>
      </rPr>
      <t>Req</t>
    </r>
  </si>
  <si>
    <r>
      <rPr>
        <b/>
        <sz val="11"/>
        <rFont val="HelveticaNeue"/>
      </rPr>
      <t>COMMENTS
KOMMENTS</t>
    </r>
  </si>
  <si>
    <r>
      <rPr>
        <b/>
        <sz val="11"/>
        <rFont val="HelveticaNeue"/>
      </rPr>
      <t>TEST</t>
    </r>
  </si>
  <si>
    <r>
      <rPr>
        <b/>
        <sz val="11"/>
        <rFont val="HelveticaNeue"/>
      </rPr>
      <t>Cliente</t>
    </r>
  </si>
  <si>
    <r>
      <rPr>
        <b/>
        <sz val="11"/>
        <rFont val="HelveticaNeue"/>
      </rPr>
      <t>CERTIFIER</t>
    </r>
  </si>
  <si>
    <r>
      <rPr>
        <b/>
        <sz val="11"/>
        <rFont val="HelveticaNeue"/>
      </rPr>
      <t>TIPO</t>
    </r>
  </si>
  <si>
    <t>1</t>
  </si>
  <si>
    <t>PASSENGER DOOR OPERATION</t>
  </si>
  <si>
    <t>FUNKTION DER FAHRGASTTÜREN</t>
  </si>
  <si>
    <t xml:space="preserve">   </t>
  </si>
  <si>
    <r>
      <rPr>
        <b/>
        <sz val="11"/>
        <rFont val="HelveticaNeue"/>
      </rPr>
      <t>T/R</t>
    </r>
  </si>
  <si>
    <r>
      <rPr>
        <b/>
        <sz val="11"/>
        <rFont val="HelveticaNeue"/>
      </rPr>
      <t>x</t>
    </r>
  </si>
  <si>
    <r>
      <rPr>
        <b/>
        <sz val="10"/>
        <rFont val="HelveticaNeue"/>
      </rPr>
      <t>TIT</t>
    </r>
  </si>
  <si>
    <t>1.01</t>
  </si>
  <si>
    <t xml:space="preserve">Purpose of the Test CASE: 
To verify the normal operation of Doors from Cabin.
(Central Opening &amp; Auto Closing)
</t>
  </si>
  <si>
    <t xml:space="preserve">Zweck des Prüffalls: 
Überprüfung der ordnungsgemäßen Funktion der Türen von der Fahrerkabine aus.
(Zentrale Öffnung und automatische Schließung)
</t>
  </si>
  <si>
    <t>#23
#2272
#2273
#2274
#2275
#2276
#2279
#2348</t>
  </si>
  <si>
    <t>This test to be repeated from both Cabins C1 and C2.</t>
  </si>
  <si>
    <r>
      <rPr>
        <sz val="10"/>
        <rFont val="HelveticaNeue"/>
      </rPr>
      <t>TC</t>
    </r>
  </si>
  <si>
    <t>Initial Conditions:
- vehicle Switched ON.
- Battery Contactor closed.
- HMI is Active.
- Local Cab is Active.
- vehicle is at Standstill.
- All Doors are Closed.</t>
  </si>
  <si>
    <t>Ausgangsbedingungen:
- Fahrzeug ist eingeschaltet.
- Batterieschütz ist geschlossen.
- MMS ist aktiv.
- Lokale Fahrerkabine ist aktiv.
- Fahrzeug befindet sich im Stillstand.
- Alle Türen sind geschlossen.</t>
  </si>
  <si>
    <t>Check &amp; note down the value of Parameter</t>
  </si>
  <si>
    <t>Prüfen und Wert des Parameters notieren</t>
  </si>
  <si>
    <r>
      <rPr>
        <sz val="10"/>
        <color theme="1" tint="0.24994659260841701"/>
        <rFont val="Arial"/>
        <family val="2"/>
      </rPr>
      <t>CLOSE_DELAY _TIME</t>
    </r>
  </si>
  <si>
    <r>
      <rPr>
        <sz val="11"/>
        <rFont val="HelveticaNeue"/>
      </rPr>
      <t>T/R</t>
    </r>
  </si>
  <si>
    <r>
      <rPr>
        <sz val="11"/>
        <rFont val="HelveticaNeue"/>
      </rPr>
      <t>x</t>
    </r>
  </si>
  <si>
    <t>In Non-Active CABIN:
- On HMI, press the virtual pushbutton for Side selection (Left or Right).</t>
  </si>
  <si>
    <t>In nicht aktiver FAHRERKABINE:
- Drücken Sie auf der MMS die virtuelle Drucktaste für die Seitenauswahl (links oder rechts).</t>
  </si>
  <si>
    <t>Nothing happens. Virtual pushbutton on HMI is non-operative.</t>
  </si>
  <si>
    <t>Nichts passiert. Die virtuelle Drucktaste auf der MMS ist nicht betriebsbereit.</t>
  </si>
  <si>
    <t>In Active CABIN:
- On HMI, press the virtual pushbutton for Left Side selection</t>
  </si>
  <si>
    <t>In aktiver FAHRERKABINE:
- Drücken Sie auf der MMS die virtuelle Drucktaste für die Auswahl der linken Seite.</t>
  </si>
  <si>
    <t>Left side indication on HMI turns BLUE.</t>
  </si>
  <si>
    <t>Die Anzeige für die linke Seite auf der MMS leuchtet BLAU.</t>
  </si>
  <si>
    <t>In Active CABIN:
- On HMI, press the virtual pushbutton for Door Release.</t>
  </si>
  <si>
    <t>In aktiver FAHRERKABINE:
- Drücken Sie auf der MMS die virtuelle Drucktaste für die Türfreigabe.</t>
  </si>
  <si>
    <t>Door Release indication on HMI turns BLUE.</t>
  </si>
  <si>
    <t>Die Anzeige für die Türfreigabe auf der MMS leuchtet BLAU.</t>
  </si>
  <si>
    <t>In Active CABIN:
- On HMI, press the virtual pushbutton for Central Opening.</t>
  </si>
  <si>
    <t>In aktiver FAHRERKABINE:
- Drücken Sie auf der MMS die virtuelle Drucktaste für zentrale Öffnung.</t>
  </si>
  <si>
    <t>All Doors on Left side of the active cab will Open:
C1 (Left): Doors - 11, 12, 13 and 14
C2 (Left): Doors - 1, 2, 3 and 4</t>
  </si>
  <si>
    <t>Alle Türen auf der linken Seite der aktiven Fahrerkabine öffnen sich:
C1 (links): Türen 11, 12, 13 und 14
C2 (links): Türen 1, 2, 3 und 4</t>
  </si>
  <si>
    <t>Wait for CLOSE_DELAY_TIME</t>
  </si>
  <si>
    <t>Auf CLOSE_DELAY_TIME warten</t>
  </si>
  <si>
    <t>All Doors will be closed automatically but stay released.</t>
  </si>
  <si>
    <t>Alle Türen werden automatisch geschlossen, bleiben aber freigegeben.</t>
  </si>
  <si>
    <t>In Active CABIN:
- On HMI, press the virtual pushbutton for Door Release again.</t>
  </si>
  <si>
    <t>In aktiver FAHRERKABINE:
- Drücken Sie auf der MMS erneut die virtuelle Drucktaste für die Türfreigabe.</t>
  </si>
  <si>
    <t>Doors release is lost.</t>
  </si>
  <si>
    <t>Türfreigabe nicht mehr vorhanden.</t>
  </si>
  <si>
    <t>"All Door Close" Green indicator will appear on HMI.</t>
  </si>
  <si>
    <t>Die grüne Anzeige "Alle Türen schließen" erscheint auf der MMS.</t>
  </si>
  <si>
    <t>There shall a Visual indication to Driver (exit permission) along with Acoustic Warning.</t>
  </si>
  <si>
    <t>Es muss eine optische Anzeige für den Fahrer (Ausstiegserlaubnis) zusammen mit einem akustischen Warnsignal geben.</t>
  </si>
  <si>
    <t>In Active CABIN:
- On HMI, press the virtual pushbutton for Right Side selection</t>
  </si>
  <si>
    <t>In aktiver FAHRERKABINE:
- Drücken Sie auf der MMS die virtuelle Drucktaste für die Auswahl der rechten Seite.</t>
  </si>
  <si>
    <t>Right side indication on HMI turns BLUE.</t>
  </si>
  <si>
    <t>Die Anzeige für die rechte Seite auf der MMS leuchtet BLAU.</t>
  </si>
  <si>
    <t>All Doors on Right side of the active cab will Open:
C1 (Right): Doors - 1, 2, 3 and 4
C2 (Right): Doors - 11, 12, 13 and 14</t>
  </si>
  <si>
    <t>Alle Türen auf der rechten Seite der aktiven Fahrerkabine öffnen sich:
C1 (rechts) Türen 1, 2, 3 und 4
C2 (rechts) Türen 11, 12, 13 und 14</t>
  </si>
  <si>
    <t>In Active CABIN:
- On HMI, press the virtual pushbutton for Left Side selection.</t>
  </si>
  <si>
    <r>
      <rPr>
        <sz val="11"/>
        <rFont val="HelveticaNeue"/>
      </rPr>
      <t>T</t>
    </r>
  </si>
  <si>
    <t>In Active CABIN:
- On HMI, press the virtual pushbutton for Right Side selection.</t>
  </si>
  <si>
    <t>Nothing happens. Side selection will remain same and only one side selected at any moment.</t>
  </si>
  <si>
    <t>Nichts passiert. Die Seitenauswahl bleibt gleich und es wird immer nur eine Seite ausgewählt.</t>
  </si>
  <si>
    <t>In Active CABIN:
- On HMI, press the virtual pushbutton for Left Side selection again.</t>
  </si>
  <si>
    <t>In aktiver FAHRERKABINE:
- Drücken Sie auf der MMS erneut die virtuelle Drucktaste für die Auswahl der linken Seite.</t>
  </si>
  <si>
    <t>Side selection lost. Left side indication on HMI turns grey.</t>
  </si>
  <si>
    <t>Seitenauswahl nicht mehr vorhanden. Die Anzeige für die linke Seite auf der MMS leuchtet Grau.</t>
  </si>
  <si>
    <t>Side selection lost. Right side indication on HMI turns grey.</t>
  </si>
  <si>
    <t>Seitenauswahl nicht mehr vorhanden. Die Anzeige für die rechte Seite auf der MMS leuchtet grau.</t>
  </si>
  <si>
    <t>In Both C1 &amp; C2 Car:
- Simulate vehicle running condition by removing the Cables from Relay terminal 18K01: 2(+)</t>
  </si>
  <si>
    <t>In beiden Wagenteilen C1 &amp; C2:
- Simulieren Sie das fahrende Fahrzeug, indem Sie die Kabel von der Relaisklemme 18K01 entfernen: 2(+)</t>
  </si>
  <si>
    <t>Check Inputs</t>
  </si>
  <si>
    <t>Eingaben prüfen</t>
  </si>
  <si>
    <t>I_S_N_18K01_ = 1 (in C1)
I_S_N_18K01 = 1 (in C2)</t>
  </si>
  <si>
    <t>In Active CABIN:
- On HMI, press the virtual pushbutton for Right Side selection.
- On HMI, press the virtual pushbutton for Door Release.</t>
  </si>
  <si>
    <t>In aktiver FAHRERKABINE:
- Drücken Sie auf der MMS die virtuelle Drucktaste für die Auswahl der rechten Seite.
- Drücken Sie auf der MMS die virtuelle Drucktaste für die Türfreigabe.</t>
  </si>
  <si>
    <t>Door is not released.</t>
  </si>
  <si>
    <t>Die Tür ist nicht freigegeben.</t>
  </si>
  <si>
    <t>In Both C1 &amp; C2 Car:
- Re-connect back the Cables into the Relay terminal 18K01: 2(+)</t>
  </si>
  <si>
    <t>In beiden Wagenteilen C1 &amp; C2:
- Schließen Sie die Kabel wieder an die Relaisklemme 18K01 an: 2(+)</t>
  </si>
  <si>
    <r>
      <rPr>
        <sz val="10"/>
        <rFont val="HelveticaNeue"/>
      </rPr>
      <t>I_S_N_18K01 = 0 (in C1)
I_S_N_18K01 = 0 (in C2)</t>
    </r>
  </si>
  <si>
    <t>Door is released (Door Release indication on HMI turns BLUE).</t>
  </si>
  <si>
    <t>Die Tür wird freigegeben (die Anzeige für die Türfreigabe auf der MMS leuchtet BLAU).</t>
  </si>
  <si>
    <t>Door Release is cancelled.</t>
  </si>
  <si>
    <t>Die Türfreigabe wird aufgehoben.</t>
  </si>
  <si>
    <t>Side selection is cancelled (both side indication on HMI turns grey).</t>
  </si>
  <si>
    <t>Die Seitenauswahl wird aufgehoben (die Anzeige beider Seiten auf der MMS leuchtet grau).</t>
  </si>
  <si>
    <t>"All Door Close" Green indicator will appear on HMI again.</t>
  </si>
  <si>
    <t>Die grüne Anzeige "Alle Türen schließen" erscheint erneut auf der MMS.</t>
  </si>
  <si>
    <r>
      <rPr>
        <sz val="11"/>
        <rFont val="Arial"/>
        <family val="2"/>
      </rPr>
      <t>1.02</t>
    </r>
  </si>
  <si>
    <r>
      <rPr>
        <sz val="11"/>
        <rFont val="Arial"/>
        <family val="2"/>
      </rPr>
      <t xml:space="preserve">Purpose of the Test CASE: 
To verify the normal operation of Doors from Cabin.
(Central Opening &amp; Forced Closing)
</t>
    </r>
  </si>
  <si>
    <r>
      <rPr>
        <sz val="11"/>
        <rFont val="Arial"/>
        <family val="2"/>
      </rPr>
      <t xml:space="preserve">Zweck des Prüffalls: 
Überprüfung der ordnungsgemäßen Funktion der Türen von der Fahrerkabine aus.
(Zentrale Öffnung und Zwangsschließung)
</t>
    </r>
  </si>
  <si>
    <r>
      <rPr>
        <sz val="11"/>
        <rFont val="Arial"/>
        <family val="2"/>
      </rPr>
      <t>#23
#2272
#2273
#2274
#2275
#2276
#2279
#2348</t>
    </r>
  </si>
  <si>
    <r>
      <rPr>
        <sz val="11"/>
        <rFont val="Arial"/>
        <family val="2"/>
      </rPr>
      <t>This test to be repeated from both Cabins.</t>
    </r>
  </si>
  <si>
    <r>
      <rPr>
        <b/>
        <sz val="11"/>
        <rFont val="HelveticaNeue"/>
      </rPr>
      <t>T</t>
    </r>
  </si>
  <si>
    <r>
      <rPr>
        <sz val="11"/>
        <rFont val="Arial"/>
        <family val="2"/>
      </rPr>
      <t>Initial Conditions:
- vehicle Switched ON.
- Battery Contactor closed.
- HMI is Active.
- Local Cab is Active.
- vehicle is at Standstill.
- All Doors are Closed.</t>
    </r>
  </si>
  <si>
    <r>
      <rPr>
        <sz val="11"/>
        <rFont val="Arial"/>
        <family val="2"/>
      </rPr>
      <t>Ausgangsbedingungen:
- Fahrzeug ist eingeschaltet.
- Batterieschütz ist geschlossen.
- MMS ist aktiv.
- Lokale Fahrerkabine ist aktiv.
- Fahrzeug befindet sich im Stillstand.
- Alle Türen sind geschlossen.</t>
    </r>
  </si>
  <si>
    <r>
      <rPr>
        <sz val="11"/>
        <rFont val="Arial"/>
        <family val="2"/>
      </rPr>
      <t>Check &amp; note down the value of Parameter</t>
    </r>
  </si>
  <si>
    <r>
      <rPr>
        <sz val="11"/>
        <rFont val="Arial"/>
        <family val="2"/>
      </rPr>
      <t>Prüfen und Wert des Parameters notieren</t>
    </r>
  </si>
  <si>
    <r>
      <rPr>
        <sz val="10"/>
        <rFont val="Arial"/>
        <family val="2"/>
      </rPr>
      <t>CLOSE_DELAY _TIME</t>
    </r>
  </si>
  <si>
    <t>In Active CABIN:
- On HMI, press the virtual pushbutton for Door Release again before CLOSE_DELAY_TIME</t>
  </si>
  <si>
    <t>In aktiver FAHRERKABINE:
- Drücken Sie auf der MMS erneut die virtuelle Drucktaste für die Türfreigabe, bevor CLOSE_DELAY_TIME erscheint.</t>
  </si>
  <si>
    <t>All Doors closed and Door release is cancelled.</t>
  </si>
  <si>
    <t>Alle Türen sind geschlossen und die Türfreigabe ist aufgehoben.</t>
  </si>
  <si>
    <t>1.03</t>
  </si>
  <si>
    <t>Purpose of the Test CASE: 
To check Door Opening via Door pushbutton after doors have been released - Command from C1 Car</t>
  </si>
  <si>
    <t>Zweck des Prüffalls: 
Überprüfung der Türöffnung über die Türtaste nach Freigabe der Türen - Befehl von Wagenteil C1 aus</t>
  </si>
  <si>
    <t>#1179
#1655
#1656
#2269</t>
  </si>
  <si>
    <t>Initial Conditions:
- vehicle Switched ON.
- Battery Contactor closed.
- HMI is Active.
- C1 Cab is Active.
- vehicle is at Standstill.
- All Doors are Closed.</t>
  </si>
  <si>
    <t>Ausgangsbedingungen:
- Fahrzeug ist eingeschaltet.
- Batterieschütz ist geschlossen.
- MMS ist aktiv.
- Fahrerkabine C1 ist aktiv.
- Fahrzeug befindet sich im Stillstand.
- Alle Türen sind geschlossen.</t>
  </si>
  <si>
    <t>In C1 CABIN:
- On HMI, press the virtual pushbutton for Left Side selection.</t>
  </si>
  <si>
    <t>In FAHRERKABINE C1:
- Drücken Sie auf der MMS die virtuelle Drucktaste für die Auswahl der linken Seite.</t>
  </si>
  <si>
    <r>
      <rPr>
        <sz val="10"/>
        <rFont val="HelveticaNeue"/>
      </rPr>
      <t>TS</t>
    </r>
  </si>
  <si>
    <t>In C1 CABIN:
- On HMI, press the virtual pushbutton for Door Release.</t>
  </si>
  <si>
    <t>In FAHRERKABINE C1:
- Drücken Sie auf der MMS die virtuelle Drucktaste für die Türfreigabe.</t>
  </si>
  <si>
    <t>Left Door Release indication on HMI turns BLUE.</t>
  </si>
  <si>
    <t>Die Anzeige für die Freigabe der linken Türen auf der MMS leuchtet BLAU.</t>
  </si>
  <si>
    <t>Door Release information sent to PIS/PA System in C2 Car. 
Check Variable.</t>
  </si>
  <si>
    <t>Informationen zur Türfreigabe werden an das FIS/PA im Wagenteil C2 gesendet. 
Variable prüfen.</t>
  </si>
  <si>
    <t>O_OPN_RD_V+ = 1</t>
  </si>
  <si>
    <t>In any Door on Right Side (Door-1, 2, 3, 4):
- Press Door pushbutton (inside or outside)</t>
  </si>
  <si>
    <t>An jeder Tür auf der rechten Seite (Tür 1, 2, 3, 4):
- Drücken Sie die Türtaste (innen oder außen)</t>
  </si>
  <si>
    <t>Nothing happens. Door will not open.</t>
  </si>
  <si>
    <t>Nichts passiert. Die Tür öffnet sich nicht.</t>
  </si>
  <si>
    <t>In any Door on Left Side (Door-14, 13, 12, 11):
- Press Door pushbutton (inside or outside)</t>
  </si>
  <si>
    <t>An jeder Tür auf der linken Seite (Tür 14, 13, 12, 11):
- Drücken Sie die Türtaste (innen oder außen)</t>
  </si>
  <si>
    <t>Local Door will open. All other Doors stay closed.</t>
  </si>
  <si>
    <t>Die lokale Tür öffnet sich. Alle anderen Türen bleiben geschlossen.</t>
  </si>
  <si>
    <t>Opened Door will close automatically.</t>
  </si>
  <si>
    <t>Die geöffnete Tür schließt sich automatisch.</t>
  </si>
  <si>
    <t>Left Doors stay released.</t>
  </si>
  <si>
    <t>Die linken Türen bleiben freigegeben.</t>
  </si>
  <si>
    <t>In C1 CABIN:
- On HMI, press the virtual pushbutton for Door Release again.</t>
  </si>
  <si>
    <t>In FAHRERKABINE C1:
- Drücken Sie auf der MMS erneut die virtuelle Drucktaste für die Türfreigabe.</t>
  </si>
  <si>
    <t>Door release is cancelled and "All Door Close" Green indicator will appear on HMI.</t>
  </si>
  <si>
    <t>Die Türfreigabe ist aufgehoben und die grüne Anzeige "Alle Türen schließen" erscheint auf der MMS.</t>
  </si>
  <si>
    <t>In C1 CABIN:
- On HMI, press the virtual pushbutton for Right Side selection.</t>
  </si>
  <si>
    <t>In FAHRERKABINE C1:
- Drücken Sie auf der MMS die virtuelle Drucktaste für die Auswahl der rechten Seite.</t>
  </si>
  <si>
    <t>Right Door Release indication on HMI turns BLUE.</t>
  </si>
  <si>
    <t>Die Anzeige für die Freigabe der rechten Türen auf der MMS leuchtet BLAU.</t>
  </si>
  <si>
    <t>O_OPN_LD_V+ = 1</t>
  </si>
  <si>
    <t>Right Doors stay released.</t>
  </si>
  <si>
    <t>Die rechten Türen bleiben freigegeben.</t>
  </si>
  <si>
    <t>1.04</t>
  </si>
  <si>
    <t>Purpose of the Test CASE: 
To check Door Opening via Door pushbutton after doors have been released - Command from C2 Car</t>
  </si>
  <si>
    <t>Zweck des Prüffalls: 
Überprüfung der Türöffnung über die Türtaste nach Freigabe der Türen - Befehl von Wagenteil C2 aus</t>
  </si>
  <si>
    <t>Initial Conditions:
- vehicle Switched ON.
- Battery Contactor closed.
- HMI is Active.
- C2 Cab is Active.
- vehicle is at Standstill.
- All Doors are Closed.</t>
  </si>
  <si>
    <t>Ausgangsbedingungen:
- Fahrzeug ist eingeschaltet.
- Batterieschütz ist geschlossen.
- MMS ist aktiv.
- Fahrerkabine C2 ist aktiv.
- Fahrzeug befindet sich im Stillstand.
- Alle Türen sind geschlossen.</t>
  </si>
  <si>
    <t>In C2 CABIN:
- On HMI, press the virtual pushbutton for Left Side selection.</t>
  </si>
  <si>
    <t>In FAHRERKABINE C2:
- Drücken Sie auf der MMS die virtuelle Drucktaste für die Auswahl der linken Seite.</t>
  </si>
  <si>
    <t>In C2 CABIN:
- On HMI, press the virtual pushbutton for Door Release.</t>
  </si>
  <si>
    <t>In FAHRERKABINE C2:
- Drücken Sie auf der MMS die virtuelle Drucktaste für die Türfreigabe.</t>
  </si>
  <si>
    <t>Door Release information sent to PIS/PA System. 
Check Variable.</t>
  </si>
  <si>
    <t>Informationen zur Türfreigabe werden an das FIS/PA im gesendet. 
Variable prüfen.</t>
  </si>
  <si>
    <t>In any Door on Right Side (Door-11, 12, 13, 14):
- Press Door pushbutton (inside or outside)</t>
  </si>
  <si>
    <t>An jeder Tür auf der rechten Seite (Tür 11, 12, 13, 14):
- Drücken Sie die Türtaste (innen oder außen)</t>
  </si>
  <si>
    <t>In any Door on Left Side (Door-4, 3, 2,1):
- Press Door pushbutton (inside or outside)</t>
  </si>
  <si>
    <t>An jeder Tür auf der linken Seite (Tür 4, 3, 2, 1):
- Drücken Sie die Türtaste (innen oder außen)</t>
  </si>
  <si>
    <t>In C2 CABIN:
- On HMI, press the virtual pushbutton for Door Release again.</t>
  </si>
  <si>
    <t>In FAHRERKABINE C2:
- Drücken Sie auf der MMS erneut die virtuelle Drucktaste für die Türfreigabe.</t>
  </si>
  <si>
    <t>In C2 CABIN:
- On HMI, press the virtual pushbutton for Right Side selection.</t>
  </si>
  <si>
    <t>In FAHRERKABINE C2:
- Drücken Sie auf der MMS die virtuelle Drucktaste für die Auswahl der rechten Seite.</t>
  </si>
  <si>
    <t>In any Door on Left Side (Door-4, 3, 2, 1):
- Press Door pushbutton (inside or outside)</t>
  </si>
  <si>
    <t>1.05</t>
  </si>
  <si>
    <t>Purpose of the Test CASE
To check failure alarms of Door System</t>
  </si>
  <si>
    <t>Zweck des Prüffalls
Überprüfung von Fehleralarmen des Türsystems</t>
  </si>
  <si>
    <t>SRR-FTA. 002</t>
  </si>
  <si>
    <t>Initial Conditions:
- Train Switched ON.
- Battery Contactor closed.
- HMI is Active.
- Train is at Standstill.
- All Doors are Closed &amp; Locked.</t>
  </si>
  <si>
    <t>Ausgangsbedingungen:
- Zug ist eingeschaltet.
- Batterieschütz ist geschlossen.
- MMS ist aktiv.
- Zug befindet sich im Stillstand.
- Alle Türen sind geschlossen und verriegelt.</t>
  </si>
  <si>
    <t>In Car:
- Remove the TCMS input cable from Relay terminal 50K01: D4</t>
  </si>
  <si>
    <t>Im Wagenteil:
- Entfernen Sie das TCMS-Eingangskabel von der Relaisklemme 50K01: D4</t>
  </si>
  <si>
    <t>Check Alarm</t>
  </si>
  <si>
    <t>Alarm prüfen</t>
  </si>
  <si>
    <t>AL50019</t>
  </si>
  <si>
    <t>In Car:
- Re-connect the TCMS input cable in the Relay terminal 50K01: D4</t>
  </si>
  <si>
    <t>Im Wagenteil:
- Schließen Sie das TCMS-Eingangskabel wieder an die Relaisklemme 50K01 an: D4</t>
  </si>
  <si>
    <t>Alarm Reset.</t>
  </si>
  <si>
    <t>Alarm zurückgesetzt.</t>
  </si>
  <si>
    <t>In Car:
- Remove the TCMS input cable from Relay terminal 50K02: D4</t>
  </si>
  <si>
    <t>Im Wagenteil:
- Entfernen Sie das TCMS-Eingangskabel von der Relaisklemme 50K02: D4</t>
  </si>
  <si>
    <t>AL50020</t>
  </si>
  <si>
    <t>TC</t>
  </si>
  <si>
    <t>In Car:
- Re-connect the TCMS input cable in the Relay terminal 50K02: D4</t>
  </si>
  <si>
    <t>Im Wagenteil:
- Schließen Sie das TCMS-Eingangskabel wieder an die Relaisklemme 50K02 an: D4</t>
  </si>
  <si>
    <t>In Car:
- Manually trip the Circuit Breaker 50Q01</t>
  </si>
  <si>
    <t>Im Wagenteil:
- Lösen Sie den Leistungsschutzschalter 50Q01 manuell aus</t>
  </si>
  <si>
    <t>AL50001</t>
  </si>
  <si>
    <t>In Car:
- Reset MCB 50Q01 &amp; manually trip MCB 50Q03</t>
  </si>
  <si>
    <t>Im Wagenteil:
- Setzen Sie MCB 50Q01 zurück und lösen Sie MCB 50Q03 manuell aus</t>
  </si>
  <si>
    <t>In Car:
- Reset MCB 50Q03</t>
  </si>
  <si>
    <t>Im Wagenteil:
- Setzen Sie MCB 50Q03 zurück</t>
  </si>
  <si>
    <t>In Car:
- Manually trip the Circuit Breaker 51Q01</t>
  </si>
  <si>
    <t>Im Wagenteil:
- Lösen Sie den Leistungsschutzschalter 51Q01 manuell aus</t>
  </si>
  <si>
    <t>AL50002</t>
  </si>
  <si>
    <t>In Car:
- Reset MCB 51Q01 &amp; manually trip MCB 51Q02</t>
  </si>
  <si>
    <t>Im Wagenteil:
- Setzen Sie MCB 51Q01 zurück und lösen Sie MCB 51Q02 manuell aus</t>
  </si>
  <si>
    <t>In Car:
- Reset MCB 51Q02 &amp; manually trip MCB 54Q01</t>
  </si>
  <si>
    <t>Im Wagenteil:
- Setzen Sie MCB 51Q02 zurück und lösen Sie MCB 54Q01 manuell aus</t>
  </si>
  <si>
    <t>In Car:
- Reset MCB 54Q01</t>
  </si>
  <si>
    <t>Im Wagenteil:
- Setzen Sie 54Q01 zurück</t>
  </si>
  <si>
    <t>CREW SWITCH OPERATION</t>
  </si>
  <si>
    <t>FUNKTION DES PERSONALSCHALTERS</t>
  </si>
  <si>
    <t>TIT</t>
  </si>
  <si>
    <t>2.01</t>
  </si>
  <si>
    <t>Purpose of the Test CASE
To Check the Outside &amp; Inside Crew Switch Operation - C1 Car</t>
  </si>
  <si>
    <t>Zweck des Prüffalls
Überprüfung der Funktion des Personalschalters Innen und Außen - Wagenteil C1</t>
  </si>
  <si>
    <t>Initial Conditions:
- Battery Contactor is Open.
- There is no Active Cab in Train.
- Train is at Standstill.
- All Doors are Closed.</t>
  </si>
  <si>
    <t>Ausgangsbedingungen:
- Batterieschütz ist offen.
- Es gibt keine aktive Fahrerkabine im Zug.
- Zug befindet sich im Stillstand.
- Alle Türen sind geschlossen.</t>
  </si>
  <si>
    <t>Outside C1 CABIN:
- Move the Outside Crew Switch 50S10 to "Open" position.</t>
  </si>
  <si>
    <t>FAHRERKABINE C1 Außen:
- Bringen Sie den Personalschalter 50S10 Außen in die Position "Öffnen".</t>
  </si>
  <si>
    <t>Door-14 will Open. All other doors stay closed</t>
  </si>
  <si>
    <t>Tür 14 öffnet sich. Alle anderen Türen bleiben geschlossen.</t>
  </si>
  <si>
    <t>Outside C1 CABIN:
- Move the Outside Crew Switch 50S10 to "Close" position.</t>
  </si>
  <si>
    <t>FAHRERKABINE C1 Außen:
- Bringen Sie den Personalschalter 50S10 Außen in die Position "Schließen".</t>
  </si>
  <si>
    <t>Door-14 will close automatically 20 seconds later.</t>
  </si>
  <si>
    <t>Tür 14 schließt sich 20 Sekunden später automatisch.</t>
  </si>
  <si>
    <t>Outside C1 CABIN:
- Move the Crew Switch 50S10 to "Open" position again</t>
  </si>
  <si>
    <t>FAHRERKABINE C1 Außen:
- Bringen Sie den Personalschalter 50S10 erneut in die Position "Öffnen".</t>
  </si>
  <si>
    <t>Door-14 will Open. All other doors stay closed.</t>
  </si>
  <si>
    <t>Go inside C1 CABIN and Wait for 5 mins.</t>
  </si>
  <si>
    <t>Gehen Sie in die FAHRERKABINE C1 und warten Sie 5 Minuten.</t>
  </si>
  <si>
    <t>Door-14 will close automatically.</t>
  </si>
  <si>
    <t>Tür 14 schließt sich automatisch.</t>
  </si>
  <si>
    <t>In C1 CABIN:
- Move the Inside Crew Switch 50S11 to "Open" position.</t>
  </si>
  <si>
    <t>In FAHRERKABINE C1:
- Bringen Sie den Personalschalter 50S11 Innen in die Position "Öffnen".</t>
  </si>
  <si>
    <t>Come Out of Train and Wait for 5 mins.</t>
  </si>
  <si>
    <t>Verlassen Sie den Zug und warten Sie 5 Minuten.</t>
  </si>
  <si>
    <t>2.02</t>
  </si>
  <si>
    <t>Purpose of the Test CASE
To Check the Outside &amp; Inside Crew Switch Operation - C2 Car</t>
  </si>
  <si>
    <t>Zweck des Prüffalls
Überprüfung der Funktion des Personalschalters Innen und Außen - Wagenteil C2</t>
  </si>
  <si>
    <t>Outside C2 CABIN:
- Move the Outside Crew Switch 50S10 to "Open" position.</t>
  </si>
  <si>
    <t>FAHRERKABINE C2 Außen:
- Bringen Sie den Personalschalter 50S10 Außen in die Position "Öffnen".</t>
  </si>
  <si>
    <t>Door-4 will Open. All other doors stay closed</t>
  </si>
  <si>
    <t>Tür 4 öffnet sich. Alle anderen Türen bleiben geschlossen.</t>
  </si>
  <si>
    <t>Outside C2 CABIN:
- Move the Outside Crew Switch 50S10 to "Close" position.</t>
  </si>
  <si>
    <t>FAHRERKABINE C2 Außen:
- Bringen Sie den Personalschalter 50S10 Außen in die Position "Schließen".</t>
  </si>
  <si>
    <t>Door-4 will close automatically 20 seconds later.</t>
  </si>
  <si>
    <t>Tür 4 schließt sich 20 Sekunden später automatisch.</t>
  </si>
  <si>
    <t>Outside C2 CABIN:
- Move the Crew Switch 50S10 to "Open" position again</t>
  </si>
  <si>
    <t>FAHRERKABINE C2 Außen:
- Bringen Sie den Personalschalter 50S10 erneut in die Position "Öffnen".</t>
  </si>
  <si>
    <t>Door-4 will Open. All other doors stay closed.</t>
  </si>
  <si>
    <t>Go inside C2 CABIN and Wait for 5 mins.</t>
  </si>
  <si>
    <t>Gehen Sie in die FAHRERKABINE C2 und warten Sie 5 Minuten.</t>
  </si>
  <si>
    <t>Door-4 will close automatically.</t>
  </si>
  <si>
    <t>Tür 4 schließt sich automatisch.</t>
  </si>
  <si>
    <t>In C2 CABIN:
- Move the Inside Crew Switch 50S11 to "Open" position.</t>
  </si>
  <si>
    <t>In FAHRERKABINE C2:
- Bringen Sie den Personalschalter 50S11 Innen in die Position "Öffnen".</t>
  </si>
  <si>
    <t>3</t>
  </si>
  <si>
    <t>DOOR CLOSED LOOP</t>
  </si>
  <si>
    <t>SCHLEIFE TÜR GESCHLOSSEN</t>
  </si>
  <si>
    <t>3.01</t>
  </si>
  <si>
    <t>Purpose of the Test CASE
To check the Door Closed Loop functionality</t>
  </si>
  <si>
    <t>Zweck des Prüffalls
Überprüfung der Funktionalität "Schleife Tür geschlossen"</t>
  </si>
  <si>
    <t>#1662
#1730
#1851
#2289
#2305
#2306
#2307</t>
  </si>
  <si>
    <t>Initial Conditions:
- vehicle Switched ON.
- Battery Contactor closed.
- HMI is Active.
- Local Cab is Active.
- vehicle is at Standstill.
- Any side doors is open.</t>
  </si>
  <si>
    <t>Ausgangsbedingungen:
- Fahrzeug ist eingeschaltet.
- Batterieschütz ist geschlossen.
- MMS ist aktiv.
- Lokale Fahrerkabine ist aktiv.
- Fahrzeug befindet sich im Stillstand.
- Alle Seitentüren sind offen.</t>
  </si>
  <si>
    <t>In CABIN:
- On HMI, press the virtual pushbutton for Door Release.</t>
  </si>
  <si>
    <t>In der FAHRERKABINE:
- Drücken Sie auf der MMS die virtuelle Drucktaste für die Türfreigabe.</t>
  </si>
  <si>
    <t>All Doors will close 
("All Door Close" Green indicator will appear on HMI)</t>
  </si>
  <si>
    <t>Alle Türen schließen sich 
(Die grüne Anzeige "Alle Türen schließen" erscheint auf der MMS)</t>
  </si>
  <si>
    <t>Cab Buzzer will produce acoustic sound for 2 seconds.</t>
  </si>
  <si>
    <t>Der Fahrerkabinensummer erzeugt für 2 Sekunden einen akustischen Ton.</t>
  </si>
  <si>
    <t>I_N_54K01 = 0
I_N_54K02 = 0</t>
  </si>
  <si>
    <t>In Passenger Area:
- Open DOOR-1 by using door emergency release switch.</t>
  </si>
  <si>
    <t>Im Fahrgastbereich:
- Öffnen Sie TÜR 1 mit dem Türnotentriegelungsschalter.</t>
  </si>
  <si>
    <t>"All Door Close" Green indicator will disappear on HMI.</t>
  </si>
  <si>
    <t>Die grüne Anzeige "Alle Türen schließen" wird auf der MMS ausgeblendet</t>
  </si>
  <si>
    <t>AL50011</t>
  </si>
  <si>
    <t>I_N_54K01 = 1
I_N_54K02 = 1</t>
  </si>
  <si>
    <t>In CABIN:
- Operate the Door Loop Bypass Switch 54S01.
Check the switch is sealed</t>
  </si>
  <si>
    <t>In der FAHRERKABINE:
- Betätigen Sie den Umgehungsschalter für die Türschleife 54S01.
Prüfen Sie, ob der Schalter dicht ist</t>
  </si>
  <si>
    <t>"All Door Close" Green indicator on HMI will glow continuously.</t>
  </si>
  <si>
    <t>Die grüne Anzeige "Alle Türen schließen" auf der MMS leuchtet kontinuierlich.</t>
  </si>
  <si>
    <t>AL54000</t>
  </si>
  <si>
    <t>Operation of Door Loop Bypass Switch will be recorded in Event Recorder.</t>
  </si>
  <si>
    <t>Die Betätigung des Umgehungsschalters für die Türschleife wird im Fahrtenschreiber aufgezeichnet.</t>
  </si>
  <si>
    <t>In Passenger Area:
- Manually close the DOOR-1 by resetting the door emergency release switch.</t>
  </si>
  <si>
    <t>Im Fahrgastbereich:
- Schließen Sie TÜR 1 manuell, indem Sie den Türnotentriegelungsschalter zurücksetzen.</t>
  </si>
  <si>
    <t>Nothing happens</t>
  </si>
  <si>
    <t>Nichts passiert</t>
  </si>
  <si>
    <t>In CABIN:
- Reset the Door Loop Bypass Switch 54S01.</t>
  </si>
  <si>
    <t>In der FAHRERKABINE:
- Setzten Sie den Umgehungsschalter für die Türschleife 54S01 zurück.</t>
  </si>
  <si>
    <t>Alarm Reset and "All Door Close" Green indicator will appear on HMI.</t>
  </si>
  <si>
    <t>Der Alarm wird zurückgesetzt und die grüne Anzeige "Alle Türen schließen" erscheinen auf der MMS.</t>
  </si>
  <si>
    <t>In Passenger Area:
- Open DOOR-2 by using door emergency release switch.</t>
  </si>
  <si>
    <t>Im Fahrgastbereich:
- Öffnen Sie TÜR 2 mit dem Türnotentriegelungsschalter.</t>
  </si>
  <si>
    <t>In Passenger Area:
- Manually close the DOOR-2 by resetting the door emergency release switch.</t>
  </si>
  <si>
    <t>Im Fahrgastbereich:
- Schließen Sie TÜR 2 manuell, indem Sie den Türnotentriegelungsschalter zurücksetzen.</t>
  </si>
  <si>
    <t>"All Door Close" Green indicator will appear again on HMI.</t>
  </si>
  <si>
    <t>Die grüne Anzeige "Alle Türen schließen" erscheint wieder auf der MMS.</t>
  </si>
  <si>
    <t>In Passenger Area:
- Open DOOR-3 by using door emergency release switch.</t>
  </si>
  <si>
    <t>Im Fahrgastbereich:
- Öffnen Sie TÜR 3 mit dem Türnotentriegelungsschalter.</t>
  </si>
  <si>
    <t>In Passenger Area:
- Manually close the DOOR-3 by resetting the door emergency release switch.</t>
  </si>
  <si>
    <t>Im Fahrgastbereich:
- Schließen Sie TÜR 3 manuell, indem Sie den Türnotentriegelungsschalter zurücksetzen.</t>
  </si>
  <si>
    <t>In Passenger Area:
- Open DOOR-4 by using door emergency release switch.</t>
  </si>
  <si>
    <t>Im Fahrgastbereich:
- Öffnen Sie TÜR 4 mit dem Türnotentriegelungsschalter.</t>
  </si>
  <si>
    <t>In Passenger Area:
- Manually close the DOOR-4 by resetting the door emergency release switch.</t>
  </si>
  <si>
    <t>Im Fahrgastbereich:
- Schließen Sie TÜR 4 manuell, indem Sie den Türnotentriegelungsschalter zurücksetzen.</t>
  </si>
  <si>
    <t>In Passenger Area:
- Open DOOR-11 by using door emergency release switch.</t>
  </si>
  <si>
    <t>Im Fahrgastbereich:
- Öffnen Sie TÜR 11 mit dem Türnotentriegelungsschalter.</t>
  </si>
  <si>
    <t>In Passenger Area:
- Manually close the DOOR-11 by resetting the door emergency release switch.</t>
  </si>
  <si>
    <t>Im Fahrgastbereich:
- Schließen Sie TÜR 11 manuell, indem Sie den Türnotentriegelungsschalter zurücksetzen.</t>
  </si>
  <si>
    <t>In Passenger Area:
- Open DOOR-12 by using door emergency release switch.</t>
  </si>
  <si>
    <t>Im Fahrgastbereich:
- Öffnen Sie TÜR 12 mit dem Türnotentriegelungsschalter.</t>
  </si>
  <si>
    <t>In Passenger Area:
- Manually close the DOOR-12 by resetting the door emergency release switch.</t>
  </si>
  <si>
    <t>Im Fahrgastbereich:
- Schließen Sie TÜR 12 manuell, indem Sie den Türnotentriegelungsschalter zurücksetzen.</t>
  </si>
  <si>
    <t>In Passenger Area:
- Open DOOR-13 by using door emergency release switch.</t>
  </si>
  <si>
    <t>Im Fahrgastbereich:
- Öffnen Sie TÜR 13 mit dem Türnotentriegelungsschalter.</t>
  </si>
  <si>
    <t>In Passenger Area:
- Manually close the DOOR-13 by resetting the door emergency release switch.</t>
  </si>
  <si>
    <t>Im Fahrgastbereich:
- Schließen Sie TÜR 13 manuell, indem Sie den Türnotentriegelungsschalter zurücksetzen.</t>
  </si>
  <si>
    <t>In Passenger Area:
- Open DOOR-14 by using door emergency release switch.</t>
  </si>
  <si>
    <t>Im Fahrgastbereich:
- Öffnen Sie TÜR 14 mit dem Türnotentriegelungsschalter.</t>
  </si>
  <si>
    <t>In Passenger Area:
- Manually close the DOOR-14 by resetting the door emergency release switch.</t>
  </si>
  <si>
    <t>Im Fahrgastbereich:
- Schließen Sie TÜR 14 manuell, indem Sie den Türnotentriegelungsschalter zurücksetzen.</t>
  </si>
  <si>
    <t>3.02</t>
  </si>
  <si>
    <t>Purpose of the Test CASE
To check the diagnostic messages of Door Closed Loop.</t>
  </si>
  <si>
    <t>Zweck des Prüffalls
Überprüfung der Diagnosemeldungen der Schleife Tür geschlossen</t>
  </si>
  <si>
    <t>SRR-FTA. 001</t>
  </si>
  <si>
    <t>Initial Conditions:
- Train Switched ON.
- Battery Contactor closed.
- HMI is Active.
- Local Cab is Active.
- Train is at Standstill.
- Any one side doors are open.</t>
  </si>
  <si>
    <t>Ausgangsbedingungen:
- Zug ist eingeschaltet.
- Batterieschütz ist geschlossen.
- MMS ist aktiv.
- Lokale Fahrerkabine ist aktiv.
- Zug befindet sich im Stillstand.
- Alle Seitentüren sind offen.</t>
  </si>
  <si>
    <t>In C2 Car:
- Remove the Cable from Relay terminal 54K01: 13</t>
  </si>
  <si>
    <t>Im Wagenteil C2:
- Entfernen Sie das Kabel von der Relaisklemme 54K01: 13</t>
  </si>
  <si>
    <t>Check Alarm.</t>
  </si>
  <si>
    <t>Alarm überprüfen.</t>
  </si>
  <si>
    <t>AL54003</t>
  </si>
  <si>
    <t>In C2 Car:
- Re-connect back the Cable into the Relay terminal 54K01: 13</t>
  </si>
  <si>
    <t>Im Wagenteil C2:
- Schließen Sie das Kabel wieder an die Relaisklemme 54K01 an: 13</t>
  </si>
  <si>
    <t>In C2 Car:
- Remove the Cable from Relay terminal 54K02: 13</t>
  </si>
  <si>
    <t>Im Wagenteil C2:
- Entfernen Sie das Kabel von der Relaisklemme 54K02: 13</t>
  </si>
  <si>
    <t>AL54004</t>
  </si>
  <si>
    <t>In C2 Car:
- Re-connect back the Cable into the Relay terminal 54K02: 13</t>
  </si>
  <si>
    <t>Im Wagenteil C2:
- Schließen Sie das Kabel wieder an die Relaisklemme 54K02 an: 13</t>
  </si>
  <si>
    <t>In C2 Car:
- Remove the Relay 54K01 from its socket.</t>
  </si>
  <si>
    <t>Im Wagenteil C2:
- Entfernen Sie das Relais 54K01 aus seiner Fassung.</t>
  </si>
  <si>
    <t>Nothing happens.</t>
  </si>
  <si>
    <t>Nichts passiert.</t>
  </si>
  <si>
    <t>AL54001</t>
  </si>
  <si>
    <t>In C2 Car:
- Fix the Relay 54K01 into its socket.</t>
  </si>
  <si>
    <t>Im Wagenteil C2:
- Stecken Sie das Relais 54K01 in seine Fassung.</t>
  </si>
  <si>
    <t>In C2 Car:
- Remove the Cable from Relay Coil terminal 54K02: 2+</t>
  </si>
  <si>
    <t>Im Wagenteil C2:
- Entfernen Sie das Kabel von der Relaisspulenklemme 54K02: 2+</t>
  </si>
  <si>
    <t>AL54002</t>
  </si>
  <si>
    <t>In C2 Car:
- Re-connect back the Cable into the Relay Coil terminal 54K02: 2+</t>
  </si>
  <si>
    <t>Im Wagenteil C2:
- Schließen Sie das Kabel wieder an die Relaisspulenklemme 54K02 an: 2+</t>
  </si>
  <si>
    <t>4</t>
  </si>
  <si>
    <t>STOP REQUEST - HANDRAIL</t>
  </si>
  <si>
    <t>HALTEANFORDERUNG - HALTESTANGE</t>
  </si>
  <si>
    <t>4.01</t>
  </si>
  <si>
    <t xml:space="preserve">Purpose of the Test CASE:
1. First command from cabin
2. Open from the Stop Request PB
Verify the functionality of Stop Request through Handrail pushbuttons from Group-1.
Test has to be repeated from cabin C1 and cabin C2
</t>
  </si>
  <si>
    <t xml:space="preserve">Zweck des Prüffalls:
1. Erster Befehl aus der Fahrerkabine
2. Öffnen über die Halteanforderung PB
Überprüfung der Funktionalität der Halteanforderung über Haltestangen-Drucktasten der Gruppe 1.
Prüfung muss von Fahrerkabine C1 und Fahrerkabine C2 wiederholt werden
</t>
  </si>
  <si>
    <t>#636</t>
  </si>
  <si>
    <t>This test to be repeated one by one for all the handrail pushbuttons of Group-1</t>
  </si>
  <si>
    <t>In CABIN:
- On HMI, press the virtual pushbutton for Side selection (Left or Right).</t>
  </si>
  <si>
    <t>In der FAHRERKABINE:
- Drücken Sie auf der MMS die virtuelle Drucktaste für die Seitenauswahl (links oder rechts).</t>
  </si>
  <si>
    <t>Selected side indication on HMI turns BLUE.</t>
  </si>
  <si>
    <t>Die Anzeige für die ausgewählte Seite auf der MMS leuchtet BLAU.</t>
  </si>
  <si>
    <t>In Passenger Area:
- Press any one of the pushbutton from Group-1 Handrail
(91S01, 91S02, 91S03, 91S04, 91S08, 91S09, 91S12)</t>
  </si>
  <si>
    <t>Im Fahrgastbereich:
- Drücken Sie eine beliebige Taste aus der Gruppe 1 Haltestangen
(91S01, 91S02, 91S03, 91S04, 91S08, 91S09, 91S12)</t>
  </si>
  <si>
    <t>Door will open based on the selected side:
- C1: Door-1 (Right) or Door-14 (Left)
- C2: Door-11 (Right) or Door-4 (Left)</t>
  </si>
  <si>
    <t>Die Tür wird auf der ausgewählten Seite geöffnet:
- C1: Tür 1 (rechts) oder Tür 14 (links)
- C2: Tür 11 (rechts) oder Tür 4 (links)</t>
  </si>
  <si>
    <t>Wait for CLOSE_DELAY _TIME</t>
  </si>
  <si>
    <t>Auf CLOSE_DELAY _TIME warten</t>
  </si>
  <si>
    <t>In CABIN:
- On HMI, press the virtual pushbutton for Door Release again</t>
  </si>
  <si>
    <t>In der FAHRERKABINE:
- Drücken Sie auf der MMS erneut die virtuelle Drucktaste für die Türfreigabe.</t>
  </si>
  <si>
    <t>All Doors closed and indication will be displayed on HMI.</t>
  </si>
  <si>
    <t>Alle Türen sind geschlossen und werden auf der MMS angezeigt.</t>
  </si>
  <si>
    <t>4.02</t>
  </si>
  <si>
    <t>Purpose of the Test CASE:
1. Request Stop from handrail
2. Command from cabin
3. Door on ares wher stop request active and side slected are opened.
Verify the functionality of Stop Request through Handrail pushbuttons from Group-1.
Test has to be repeated from cabin C1 and cabin C2</t>
  </si>
  <si>
    <t>Zweck des Prüffalls:
1. Halteanforderung von Haltestange
2. Befehl aus der Fahrerkabine
3. Tür in Bereichen, in denen die Halteanforderung aktiv ist und die Seite ausgewählt wurde, wird geöffnet.
Überprüfung der Funktionalität der Halteanforderung über Haltestangen-Drucktasten der Gruppe 1.
Prüfung muss von Fahrerkabine C1 und Fahrerkabine C2 wiederholt werden</t>
  </si>
  <si>
    <t>Stop Request message will be indicated on Driver's HMI.</t>
  </si>
  <si>
    <t>Die Halteanforderungsmeldung wird auf der MMS des Fahrers angezeigt.</t>
  </si>
  <si>
    <t>A message "Wagen hält" will be displayed in the interior displays.</t>
  </si>
  <si>
    <t>Auf den Innenanzeigen wird die Meldung "Wagen hält" angezeigt.</t>
  </si>
  <si>
    <t>Stop Request message and "Wagen hält" message will disappear.</t>
  </si>
  <si>
    <t>Die Halteanforderungsmeldung und die Meldung "Wagen hält" werden ausgeblendet.</t>
  </si>
  <si>
    <t>4.03</t>
  </si>
  <si>
    <t>Purpose of the Test CASE
1. First command from cabin
2. Open from the Stop Request PB
To verify the functionality of Stop Request through Handrail pushbuttons from Group-2.
Test has to be repeated from cabin C1 and cabin C2</t>
  </si>
  <si>
    <t>Zweck des Prüffalls
1. Erster Befehl aus der Fahrerkabine
2. Öffnen über die Halteanforderung PB
Überprüfung der Funktionalität der Halteanforderung über Haltestangen-Drucktasten der Gruppe 2.
Prüfung muss von Fahrerkabine C1 und Fahrerkabine C2 wiederholt werden</t>
  </si>
  <si>
    <t>This test to be repeated one by one for all the handrail pushbuttons of Group-2</t>
  </si>
  <si>
    <t>In Passenger Area:
- Press any one of the pushbutton from Group-2 Handrail
(91S05, 91S06, 91S10, 91S11, 91S13)</t>
  </si>
  <si>
    <t>Im Fahrgastbereich:
- Drücken Sie eine beliebige Taste aus der Gruppe 2 Haltestangen
(91S05, 91S06, 91S10, 91S11, 91S13)</t>
  </si>
  <si>
    <t>Door will open based on the selected side:
- C1: Door-2 (Right) or Door-13 (Left)
- C2: Door-12 (Right) or Door-3 (Left)</t>
  </si>
  <si>
    <t>Die Tür wird auf der ausgewählten Seite geöffnet:
- C1: Tür 2 (rechts) oder Tür 13 (links)
- C2: Tür 12 (rechts) oder Tür 3 (links)</t>
  </si>
  <si>
    <t>4.04</t>
  </si>
  <si>
    <t>Purpose of the Test CASE:
1. Request Stop from handrail
2. Command from cabin
3. Door on ares wher stop request active and side slected are opened.
Verify the functionality of Stop Request through Handrail pushbuttons from Group-2.
Test has to be repeated from cabin C1 and cabin C2</t>
  </si>
  <si>
    <t>Zweck des Prüffalls:
1. Halteanforderung von Haltestange
2. Befehl aus der Fahrerkabine
3. Tür in Bereichen, in denen die Halteanforderung aktiv ist und die Seite ausgewählt wurde, wird geöffnet.
Überprüfung der Funktionalität der Halteanforderung über Haltestangen-Drucktasten der Gruppe 2.
Prüfung muss von Fahrerkabine C1 und Fahrerkabine C2 wiederholt werden</t>
  </si>
  <si>
    <t>PMR STOP REQUEST</t>
  </si>
  <si>
    <t>PMR-HALTEANFORDERUNG</t>
  </si>
  <si>
    <t>5.01</t>
  </si>
  <si>
    <t>Purpose of the Test CASE
To verify the PMR Stop Request function - Command from C1 Car.</t>
  </si>
  <si>
    <t>Zweck des Prüffalls
Überprüfung der PMR-Halteanforderungsfunktion - Befehl von Wagenteil C1.</t>
  </si>
  <si>
    <t>Initial Conditions:
- Train Switched ON.
- Battery Contactor closed.
- HMI is Active.
- C1 Cab is Active.
- Train is at Standstill.
- All Doors are Closed.</t>
  </si>
  <si>
    <t>Ausgangsbedingungen:
- Zug ist eingeschaltet.
- Batterieschütz ist geschlossen.
- MMS ist aktiv.
- Fahrerkabine C1 ist aktiv.
- Zug befindet sich im Stillstand.
- Alle Türen sind geschlossen.</t>
  </si>
  <si>
    <t>In Passenger Area of C1 or C2:
- Press PMR Stop Request pushbutton (91S07).</t>
  </si>
  <si>
    <t>Im Fahrgastbereich von C1 oder C2:
- Drücken Sie die PMR-Halteanforderungstaste (91S07).</t>
  </si>
  <si>
    <t>“PMR Stop Request” indicator glows in the Driving Cab HMI.</t>
  </si>
  <si>
    <t>Die Anzeige "PMR-Halteanforderung" leuchtet in der MMS der Fahrerkabine.</t>
  </si>
  <si>
    <t>PMR Door on the left side of Active Cab will open based on the pushbutton pressed:
- PB 91S07 pressed in C1: Door-14
- PB 91S07 pressed in C2: Door-11</t>
  </si>
  <si>
    <t>Die PMR-Tür auf der linken Seite der aktiven Fahrerkabine öffnet sich bei gedrückter Drucktaste:
- PB 91S07 gedrückt in C1: Tür 14
- PB 91S07 gedrückt in C2: Tür 11</t>
  </si>
  <si>
    <t>Other Doors stay closed but released.</t>
  </si>
  <si>
    <t>Alle anderen Türen bleiben geschlossen, aber freigegeben.</t>
  </si>
  <si>
    <t>Wait for approx. 1 minute</t>
  </si>
  <si>
    <t>Warten Sie ca. 1 Minute.</t>
  </si>
  <si>
    <t>Nothing happens.
Opened Door will remain open. Other Doors stay closed.</t>
  </si>
  <si>
    <t>Nichts passiert.
Die geöffnete Tür bleibt offen. Alle anderen Türen bleiben geschlossen.</t>
  </si>
  <si>
    <t>PMR Door on the right side of Active Cab will open based on the pushbutton pressed:
- PB 91S07 pressed in C1: Door-1
- PB 91S07 pressed in C2: Door-4</t>
  </si>
  <si>
    <t>Die PMR-Tür auf der rechten Seite der aktiven Fahrerkabine öffnet sich bei gedrückter Drucktaste:
- PB 91S07 gedrückt in C1: Tür 1
- PB 91S07 gedrückt in C2: Tür 4</t>
  </si>
  <si>
    <t>5.02</t>
  </si>
  <si>
    <t>Purpose of the Test CASE
To verify the PMR Stop Request function - Command from C2 Car.</t>
  </si>
  <si>
    <t>Zweck des Prüffalls
Überprüfung der PMR-Halteanforderungsfunktion - Befehl von Wagenteil C2.</t>
  </si>
  <si>
    <t>Initial Conditions:
- Train Switched ON.
- Battery Contactor closed.
- HMI is Active.
- C2 Cab is Active.
- Train is at Standstill.
- All Doors are Closed.</t>
  </si>
  <si>
    <t>Ausgangsbedingungen:
- Zug ist eingeschaltet.
- Batterieschütz ist geschlossen.
- MMS ist aktiv.
- Fahrerkabine C2 ist aktiv.
- Zug befindet sich im Stillstand.
- Alle Türen sind geschlossen.</t>
  </si>
  <si>
    <t>PMR Door on the left side of Active Cab will open based on the pushbutton pressed:
- PB 91S07 pressed in C1: Door-1
- PB 91S07 pressed in C2: Door-4</t>
  </si>
  <si>
    <t>Die PMR-Tür auf der linken Seite der aktiven Fahrerkabine öffnet sich bei gedrückter Drucktaste:
- PB 91S07 gedrückt in C1: Tür 1
- PB 91S07 gedrückt in C2: Tür 4</t>
  </si>
  <si>
    <t>PMR Door on the right side of Active Cab will open based on the pushbutton pressed:
- PB 91S07 pressed in C1: Door-14
- PB 91S07 pressed in C2: Door-11</t>
  </si>
  <si>
    <t>Die PMR-Tür auf der rechten Seite der aktiven Fahrerkabine öffnet sich bei gedrückter Drucktaste:
- PB 91S07 gedrückt in C1: Tür 14
- PB 91S07 gedrückt in C2: Tür 11</t>
  </si>
  <si>
    <t>5.03</t>
  </si>
  <si>
    <t>Purpose of the Test CASE
To Check the PMR Stop Request Cancellation.</t>
  </si>
  <si>
    <t>Zweck des Prüffalls
Überprüfung des Abbruchs der PMR-Halteanforderung.</t>
  </si>
  <si>
    <t>Test has to be repeated from cabin C1 and cabin C2</t>
  </si>
  <si>
    <t>Initial Conditions:
- Train Switched ON.
- Battery Contactor closed.
- HMI is Active.
- Local Cab is Active.
- Train is at Standstill.
- All Doors are Closed.</t>
  </si>
  <si>
    <t>Ausgangsbedingungen:
- Zug ist eingeschaltet.
- Batterieschütz ist geschlossen.
- MMS ist aktiv.
- Lokale Fahrerkabine ist aktiv.
- Zug befindet sich im Stillstand.
- Alle Türen sind geschlossen.</t>
  </si>
  <si>
    <t>In Passenger Area:
- Press PMR Stop Request pushbutton in any Cab.</t>
  </si>
  <si>
    <t>Im Fahrgastbereich:
- Drücken Sie die PMR-Halteanforderungstaste in einer beliebigen Fahrerkabine.</t>
  </si>
  <si>
    <t>Check Input.</t>
  </si>
  <si>
    <t>Eingabe prüfen</t>
  </si>
  <si>
    <r>
      <rPr>
        <sz val="10"/>
        <rFont val="HelveticaNeue"/>
      </rPr>
      <t>I_STOP_REQ_PMR = 1</t>
    </r>
  </si>
  <si>
    <t>AL91001</t>
  </si>
  <si>
    <t>In Active CABIN:
- On HMI, press the virtual pushbutton for Side selection (Left or Right).</t>
  </si>
  <si>
    <t>In aktiver FAHRERKABINE:
- Drücken Sie auf der MMS die virtuelle Drucktaste für die Seitenauswahl (links oder rechts).</t>
  </si>
  <si>
    <t>In CABIN:
- On HMI, press virtual pushbutton for PMR Stop Request / indicator for more than 1second.</t>
  </si>
  <si>
    <t>In der FAHRERKABINE:
- Drücken Sie auf der MMS die virtuelle Drucktaste für die PMR-Halteanfoderung / Anzeige für mindestens 1 Sekunde.</t>
  </si>
  <si>
    <t>PMR Stop Request is cancelled.</t>
  </si>
  <si>
    <t>Die PMR-Halteanfoderung wird abgebrochen.</t>
  </si>
  <si>
    <t>PMR Stop Request indicator and "Wagen hält" message will disappear.</t>
  </si>
  <si>
    <t>Die Anzeige PMR-Halteanforderung und die Meldung "Wagen hält" werden ausgeblendet.</t>
  </si>
  <si>
    <t>No PMR Door opens.</t>
  </si>
  <si>
    <t>Keine PMR-Tür öffnet sich.</t>
  </si>
  <si>
    <t>The rest of doors stay closed but released.</t>
  </si>
  <si>
    <t>Die übrigen Türen bleiben geschlossen aber freigegeben.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</si>
</sst>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font>
      <sz val="10"/>
      <name val="Arial"/>
    </font>
    <font>
      <sz val="8"/>
      <name val="Arial"/>
      <family val="2"/>
    </font>
    <font>
      <sz val="10"/>
      <name val="HelveticaNeue"/>
    </font>
    <font>
      <sz val="11"/>
      <name val="HelveticaNeue"/>
    </font>
    <font>
      <b/>
      <sz val="11"/>
      <name val="HelveticaNeue"/>
    </font>
    <font>
      <b/>
      <sz val="10"/>
      <name val="HelveticaNeue"/>
    </font>
    <font>
      <sz val="10"/>
      <name val="Arial"/>
      <family val="2"/>
    </font>
    <font>
      <sz val="9"/>
      <name val="HelveticaNeue"/>
    </font>
    <font>
      <b/>
      <sz val="14"/>
      <name val="HelveticaNeue"/>
    </font>
    <font>
      <b/>
      <sz val="10"/>
      <name val="Arial"/>
      <family val="2"/>
    </font>
    <font>
      <sz val="11"/>
      <color rgb="FF000000"/>
      <name val="Calibri"/>
      <family val="2"/>
      <scheme val="minor"/>
    </font>
    <font>
      <b/>
      <sz val="12"/>
      <name val="Arial"/>
      <family val="2"/>
    </font>
    <font>
      <b/>
      <sz val="16"/>
      <name val="HelveticaNeue"/>
    </font>
    <font>
      <sz val="11"/>
      <color theme="1" tint="0.24994659260841701"/>
      <name val="Arial"/>
      <family val="2"/>
    </font>
    <font>
      <sz val="12"/>
      <name val="Calibri"/>
      <family val="2"/>
      <scheme val="minor"/>
    </font>
    <font>
      <sz val="10"/>
      <color theme="1" tint="0.24994659260841701"/>
      <name val="Arial"/>
      <family val="2"/>
    </font>
    <font>
      <sz val="10"/>
      <color rgb="FFFF0000"/>
      <name val="Arial"/>
      <family val="2"/>
    </font>
    <font>
      <sz val="11"/>
      <name val="Arial"/>
      <family val="2"/>
    </font>
  </fonts>
  <fills count="11">
    <fill>
      <patternFill patternType="none"/>
    </fill>
    <fill>
      <patternFill patternType="gray125"/>
    </fill>
    <fill>
      <patternFill patternType="solid">
        <fgColor rgb="FFC000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rgb="FFFFC000"/>
        <bgColor indexed="64"/>
      </patternFill>
    </fill>
    <fill>
      <patternFill patternType="solid">
        <fgColor theme="1" tint="4.9989318521683403E-2"/>
        <bgColor indexed="64"/>
      </patternFill>
    </fill>
    <fill>
      <patternFill patternType="solid">
        <fgColor theme="1"/>
        <bgColor indexed="64"/>
      </patternFill>
    </fill>
  </fills>
  <borders count="28">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auto="1"/>
      </top>
      <bottom style="thin">
        <color auto="1"/>
      </bottom>
      <diagonal/>
    </border>
    <border>
      <left style="thin">
        <color indexed="64"/>
      </left>
      <right/>
      <top/>
      <bottom/>
      <diagonal/>
    </border>
    <border>
      <left style="thin">
        <color indexed="64"/>
      </left>
      <right style="thin">
        <color theme="0" tint="-0.34998626667073579"/>
      </right>
      <top style="thin">
        <color theme="0" tint="-0.34998626667073579"/>
      </top>
      <bottom style="thin">
        <color theme="0" tint="-0.34998626667073579"/>
      </bottom>
      <diagonal/>
    </border>
    <border>
      <left/>
      <right style="thin">
        <color indexed="64"/>
      </right>
      <top/>
      <bottom/>
      <diagonal/>
    </border>
    <border>
      <left style="thin">
        <color theme="0" tint="-0.34998626667073579"/>
      </left>
      <right style="thin">
        <color indexed="64"/>
      </right>
      <top style="thin">
        <color theme="0" tint="-0.34998626667073579"/>
      </top>
      <bottom style="thin">
        <color theme="0" tint="-0.34998626667073579"/>
      </bottom>
      <diagonal/>
    </border>
    <border>
      <left style="medium">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auto="1"/>
      </bottom>
      <diagonal/>
    </border>
    <border>
      <left style="thin">
        <color theme="0" tint="-0.34998626667073579"/>
      </left>
      <right style="thin">
        <color theme="0" tint="-0.34998626667073579"/>
      </right>
      <top style="thin">
        <color auto="1"/>
      </top>
      <bottom/>
      <diagonal/>
    </border>
  </borders>
  <cellStyleXfs count="6">
    <xf numFmtId="0" fontId="0" fillId="0" borderId="0"/>
    <xf numFmtId="0" fontId="13" fillId="6" borderId="4" applyAlignment="0">
      <alignment wrapText="1"/>
    </xf>
    <xf numFmtId="0" fontId="13" fillId="7" borderId="4" applyAlignment="0">
      <alignment wrapText="1"/>
    </xf>
    <xf numFmtId="0" fontId="3" fillId="0" borderId="1" applyAlignment="0">
      <alignment horizontal="center" vertical="center" wrapText="1"/>
      <protection locked="0"/>
    </xf>
    <xf numFmtId="0" fontId="6" fillId="0" borderId="0"/>
    <xf numFmtId="0" fontId="11" fillId="0" borderId="5" applyBorder="0" applyAlignment="0">
      <alignment horizontal="center" vertical="center" wrapText="1"/>
    </xf>
  </cellStyleXfs>
  <cellXfs count="107">
    <xf numFmtId="0" fontId="0" fillId="0" borderId="0" xfId="0"/>
    <xf numFmtId="0" fontId="2" fillId="0" borderId="0" xfId="0" applyFont="1" applyAlignment="1">
      <alignment horizontal="center" vertical="center" wrapText="1"/>
    </xf>
    <xf numFmtId="0" fontId="4" fillId="0" borderId="0" xfId="0" applyFont="1" applyAlignment="1" applyProtection="1">
      <alignment horizontal="center" vertical="center" wrapText="1"/>
      <protection locked="0"/>
    </xf>
    <xf numFmtId="49" fontId="2" fillId="0" borderId="0" xfId="0" applyNumberFormat="1" applyFont="1" applyAlignment="1">
      <alignment horizontal="center" vertical="center" wrapText="1"/>
    </xf>
    <xf numFmtId="0" fontId="2" fillId="0" borderId="0" xfId="0" applyFont="1" applyAlignment="1" applyProtection="1">
      <alignment horizontal="center" vertical="center" wrapText="1"/>
      <protection locked="0"/>
    </xf>
    <xf numFmtId="0" fontId="7" fillId="0" borderId="0" xfId="0" applyFont="1" applyAlignment="1">
      <alignment horizontal="center" vertical="center" wrapText="1"/>
    </xf>
    <xf numFmtId="0" fontId="7" fillId="0" borderId="0" xfId="0" applyFont="1" applyAlignment="1" applyProtection="1">
      <alignment horizontal="center" vertical="center" wrapText="1"/>
      <protection locked="0"/>
    </xf>
    <xf numFmtId="0" fontId="4" fillId="2" borderId="1" xfId="0" applyFont="1" applyFill="1" applyBorder="1" applyAlignment="1">
      <alignment horizontal="center" vertical="center" wrapText="1"/>
    </xf>
    <xf numFmtId="49" fontId="4" fillId="2" borderId="1" xfId="0" applyNumberFormat="1" applyFont="1" applyFill="1" applyBorder="1" applyAlignment="1">
      <alignment horizontal="center" vertical="center" wrapText="1"/>
    </xf>
    <xf numFmtId="0" fontId="4" fillId="2" borderId="2" xfId="0" applyFont="1" applyFill="1" applyBorder="1" applyAlignment="1">
      <alignment horizontal="center" vertical="center" wrapText="1"/>
    </xf>
    <xf numFmtId="49" fontId="2" fillId="0" borderId="1" xfId="0" applyNumberFormat="1" applyFont="1" applyBorder="1" applyAlignment="1" applyProtection="1">
      <alignment horizontal="center" vertical="center" wrapText="1"/>
      <protection locked="0"/>
    </xf>
    <xf numFmtId="49" fontId="2" fillId="0" borderId="0" xfId="0" applyNumberFormat="1" applyFont="1" applyAlignment="1" applyProtection="1">
      <alignment horizontal="center" vertical="center" wrapText="1"/>
      <protection locked="0"/>
    </xf>
    <xf numFmtId="49" fontId="5" fillId="0" borderId="1" xfId="0" applyNumberFormat="1" applyFont="1" applyBorder="1" applyAlignment="1" applyProtection="1">
      <alignment horizontal="center" vertical="center" wrapText="1"/>
      <protection locked="0"/>
    </xf>
    <xf numFmtId="0" fontId="6" fillId="0" borderId="0" xfId="0" applyFont="1"/>
    <xf numFmtId="0" fontId="9" fillId="0" borderId="0" xfId="0" applyFont="1"/>
    <xf numFmtId="0" fontId="10" fillId="4" borderId="0" xfId="0" applyFont="1" applyFill="1"/>
    <xf numFmtId="0" fontId="10" fillId="5" borderId="0" xfId="0" applyFont="1" applyFill="1"/>
    <xf numFmtId="0" fontId="0" fillId="0" borderId="0" xfId="0" applyAlignment="1">
      <alignment horizontal="center"/>
    </xf>
    <xf numFmtId="0" fontId="11" fillId="0" borderId="0" xfId="0" applyFont="1"/>
    <xf numFmtId="0" fontId="11" fillId="0" borderId="0" xfId="0" applyFont="1" applyAlignment="1">
      <alignment horizontal="center"/>
    </xf>
    <xf numFmtId="0" fontId="6" fillId="0" borderId="0" xfId="0" applyFont="1" applyAlignment="1">
      <alignment horizontal="center"/>
    </xf>
    <xf numFmtId="0" fontId="10" fillId="0" borderId="0" xfId="0" applyFont="1"/>
    <xf numFmtId="0" fontId="2" fillId="0" borderId="5" xfId="0" applyFont="1" applyBorder="1" applyAlignment="1">
      <alignment horizontal="center" vertical="center" wrapText="1"/>
    </xf>
    <xf numFmtId="0" fontId="4" fillId="2" borderId="6" xfId="0" applyFont="1" applyFill="1" applyBorder="1" applyAlignment="1">
      <alignment horizontal="center" vertical="center" wrapText="1"/>
    </xf>
    <xf numFmtId="0" fontId="2" fillId="0" borderId="7" xfId="0" applyFont="1" applyBorder="1" applyAlignment="1">
      <alignment horizontal="center" vertical="center" wrapText="1"/>
    </xf>
    <xf numFmtId="0" fontId="4" fillId="2" borderId="8" xfId="0" applyFont="1" applyFill="1" applyBorder="1" applyAlignment="1">
      <alignment horizontal="center" vertical="center" wrapText="1"/>
    </xf>
    <xf numFmtId="0" fontId="2" fillId="0" borderId="9" xfId="0" applyFont="1" applyBorder="1" applyAlignment="1">
      <alignment vertical="center" wrapText="1"/>
    </xf>
    <xf numFmtId="49" fontId="2" fillId="0" borderId="10" xfId="0" applyNumberFormat="1" applyFont="1" applyBorder="1" applyAlignment="1">
      <alignment vertical="center" wrapText="1"/>
    </xf>
    <xf numFmtId="14" fontId="5" fillId="3" borderId="14" xfId="0" applyNumberFormat="1" applyFont="1" applyFill="1" applyBorder="1" applyAlignment="1">
      <alignment vertical="center" wrapText="1"/>
    </xf>
    <xf numFmtId="14" fontId="5" fillId="3" borderId="15" xfId="0" applyNumberFormat="1" applyFont="1" applyFill="1" applyBorder="1" applyAlignment="1">
      <alignment vertical="center" wrapText="1"/>
    </xf>
    <xf numFmtId="14" fontId="12" fillId="3" borderId="15" xfId="0" applyNumberFormat="1" applyFont="1" applyFill="1" applyBorder="1" applyAlignment="1">
      <alignment horizontal="right" vertical="center" wrapText="1"/>
    </xf>
    <xf numFmtId="14" fontId="12" fillId="3" borderId="16" xfId="0" applyNumberFormat="1" applyFont="1" applyFill="1" applyBorder="1" applyAlignment="1">
      <alignment horizontal="center" vertical="center" wrapText="1"/>
    </xf>
    <xf numFmtId="0" fontId="2" fillId="0" borderId="17" xfId="0" applyFont="1" applyBorder="1" applyAlignment="1">
      <alignment vertical="center" wrapText="1"/>
    </xf>
    <xf numFmtId="49" fontId="2" fillId="0" borderId="18" xfId="0" applyNumberFormat="1" applyFont="1" applyBorder="1" applyAlignment="1">
      <alignment vertical="center" wrapText="1"/>
    </xf>
    <xf numFmtId="14" fontId="8" fillId="2" borderId="19" xfId="0" applyNumberFormat="1" applyFont="1" applyFill="1" applyBorder="1" applyAlignment="1">
      <alignment horizontal="center" vertical="center" wrapText="1"/>
    </xf>
    <xf numFmtId="14" fontId="8" fillId="2" borderId="20" xfId="0" applyNumberFormat="1" applyFont="1" applyFill="1" applyBorder="1" applyAlignment="1">
      <alignment horizontal="center" vertical="center" wrapText="1"/>
    </xf>
    <xf numFmtId="14" fontId="5" fillId="3" borderId="21" xfId="0" applyNumberFormat="1" applyFont="1" applyFill="1" applyBorder="1" applyAlignment="1">
      <alignment vertical="center" wrapText="1"/>
    </xf>
    <xf numFmtId="14" fontId="5" fillId="3" borderId="20" xfId="0" applyNumberFormat="1" applyFont="1" applyFill="1" applyBorder="1" applyAlignment="1">
      <alignment vertical="center" wrapText="1"/>
    </xf>
    <xf numFmtId="14" fontId="12" fillId="3" borderId="20" xfId="0" applyNumberFormat="1" applyFont="1" applyFill="1" applyBorder="1" applyAlignment="1">
      <alignment horizontal="right" vertical="center" wrapText="1"/>
    </xf>
    <xf numFmtId="14" fontId="12" fillId="3" borderId="22" xfId="0" applyNumberFormat="1" applyFont="1" applyFill="1" applyBorder="1" applyAlignment="1">
      <alignment horizontal="center" vertical="center" wrapText="1"/>
    </xf>
    <xf numFmtId="0" fontId="4" fillId="8" borderId="3" xfId="0" applyFont="1" applyFill="1" applyBorder="1" applyAlignment="1">
      <alignment horizontal="center" vertical="center" wrapText="1"/>
    </xf>
    <xf numFmtId="0" fontId="4" fillId="8" borderId="1" xfId="0" applyFont="1" applyFill="1" applyBorder="1" applyAlignment="1">
      <alignment horizontal="center" vertical="center" wrapText="1"/>
    </xf>
    <xf numFmtId="49" fontId="4" fillId="8" borderId="1" xfId="0" applyNumberFormat="1" applyFont="1" applyFill="1" applyBorder="1" applyAlignment="1">
      <alignment horizontal="center" vertical="center" wrapText="1"/>
    </xf>
    <xf numFmtId="0" fontId="0" fillId="3" borderId="0" xfId="0" applyFill="1"/>
    <xf numFmtId="49" fontId="14" fillId="0" borderId="0" xfId="0" applyNumberFormat="1" applyFont="1"/>
    <xf numFmtId="0" fontId="13" fillId="6" borderId="4" xfId="1" applyAlignment="1">
      <alignment horizontal="center" vertical="center" wrapText="1"/>
    </xf>
    <xf numFmtId="0" fontId="13" fillId="7" borderId="4" xfId="2" applyAlignment="1">
      <alignment horizontal="center" vertical="center" wrapText="1"/>
    </xf>
    <xf numFmtId="0" fontId="11" fillId="0" borderId="1" xfId="5" applyBorder="1" applyAlignment="1">
      <alignment horizontal="center" vertical="center" wrapText="1"/>
    </xf>
    <xf numFmtId="0" fontId="3" fillId="0" borderId="1" xfId="3" applyAlignment="1">
      <alignment horizontal="center" vertical="center" wrapText="1"/>
      <protection locked="0"/>
    </xf>
    <xf numFmtId="0" fontId="11" fillId="0" borderId="6" xfId="5" applyBorder="1" applyAlignment="1">
      <alignment horizontal="center" vertical="center" wrapText="1"/>
    </xf>
    <xf numFmtId="0" fontId="13" fillId="6" borderId="4" xfId="1" applyAlignment="1">
      <alignment vertical="center" wrapText="1"/>
    </xf>
    <xf numFmtId="0" fontId="11" fillId="0" borderId="5" xfId="5" applyBorder="1" applyAlignment="1">
      <alignment horizontal="center" vertical="center" wrapText="1"/>
    </xf>
    <xf numFmtId="0" fontId="11" fillId="0" borderId="0" xfId="5" applyBorder="1" applyAlignment="1">
      <alignment horizontal="center" vertical="center" wrapText="1"/>
    </xf>
    <xf numFmtId="0" fontId="13" fillId="7" borderId="4" xfId="2" applyAlignment="1">
      <alignment vertical="center" wrapText="1"/>
    </xf>
    <xf numFmtId="0" fontId="3" fillId="0" borderId="1" xfId="3" applyAlignment="1">
      <alignment vertical="center" wrapText="1"/>
      <protection locked="0"/>
    </xf>
    <xf numFmtId="0" fontId="3" fillId="0" borderId="1" xfId="3" applyAlignment="1">
      <alignment horizontal="left" vertical="center" wrapText="1"/>
      <protection locked="0"/>
    </xf>
    <xf numFmtId="0" fontId="11" fillId="0" borderId="0" xfId="5" applyBorder="1" applyAlignment="1">
      <alignment vertical="center"/>
    </xf>
    <xf numFmtId="0" fontId="4" fillId="0" borderId="1" xfId="0" applyFont="1" applyBorder="1" applyAlignment="1" applyProtection="1">
      <alignment horizontal="center" vertical="center" wrapText="1"/>
      <protection locked="0"/>
    </xf>
    <xf numFmtId="0" fontId="3" fillId="0" borderId="0" xfId="0" applyFont="1" applyAlignment="1" applyProtection="1">
      <alignment horizontal="center" vertical="center" wrapText="1"/>
      <protection locked="0"/>
    </xf>
    <xf numFmtId="0" fontId="3" fillId="0" borderId="3" xfId="0"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2" fillId="0" borderId="0" xfId="0" applyFont="1" applyAlignment="1" applyProtection="1">
      <alignment vertical="center" wrapText="1"/>
      <protection locked="0"/>
    </xf>
    <xf numFmtId="0" fontId="13" fillId="6" borderId="4" xfId="1" applyAlignment="1">
      <alignment horizontal="left" vertical="center" wrapText="1"/>
    </xf>
    <xf numFmtId="0" fontId="6" fillId="0" borderId="0" xfId="4" applyAlignment="1">
      <alignment vertical="center"/>
    </xf>
    <xf numFmtId="0" fontId="3" fillId="0" borderId="1" xfId="3" applyAlignment="1">
      <alignment horizontal="center" vertical="center"/>
      <protection locked="0"/>
    </xf>
    <xf numFmtId="0" fontId="11" fillId="0" borderId="1" xfId="5" applyBorder="1" applyAlignment="1">
      <alignment horizontal="left" vertical="center" wrapText="1"/>
    </xf>
    <xf numFmtId="0" fontId="11" fillId="0" borderId="1" xfId="5" applyBorder="1" applyAlignment="1">
      <alignment horizontal="right" vertical="center" wrapText="1"/>
    </xf>
    <xf numFmtId="0" fontId="3" fillId="0" borderId="1" xfId="0" applyFont="1" applyBorder="1" applyAlignment="1" applyProtection="1">
      <alignment horizontal="center" vertical="center" wrapText="1"/>
      <protection locked="0"/>
    </xf>
    <xf numFmtId="0" fontId="2" fillId="0" borderId="5" xfId="0" applyFont="1" applyBorder="1" applyAlignment="1" applyProtection="1">
      <alignment horizontal="center" vertical="center" wrapText="1"/>
      <protection locked="0"/>
    </xf>
    <xf numFmtId="0" fontId="2" fillId="0" borderId="0" xfId="0" applyFont="1" applyAlignment="1" applyProtection="1">
      <alignment horizontal="left" vertical="center" wrapText="1"/>
      <protection locked="0"/>
    </xf>
    <xf numFmtId="0" fontId="2" fillId="0" borderId="7" xfId="0" applyFont="1" applyBorder="1" applyAlignment="1" applyProtection="1">
      <alignment vertical="center" wrapText="1"/>
      <protection locked="0"/>
    </xf>
    <xf numFmtId="0" fontId="2" fillId="0" borderId="1" xfId="3" applyFont="1" applyAlignment="1">
      <alignment horizontal="center" vertical="center" wrapText="1"/>
      <protection locked="0"/>
    </xf>
    <xf numFmtId="0" fontId="3" fillId="0" borderId="23" xfId="3" applyBorder="1" applyAlignment="1">
      <alignment horizontal="center" vertical="center" wrapText="1"/>
      <protection locked="0"/>
    </xf>
    <xf numFmtId="0" fontId="3" fillId="0" borderId="23" xfId="3" applyBorder="1" applyAlignment="1">
      <alignment horizontal="left" vertical="center" wrapText="1"/>
      <protection locked="0"/>
    </xf>
    <xf numFmtId="0" fontId="4" fillId="0" borderId="3" xfId="0" applyFont="1" applyBorder="1" applyAlignment="1" applyProtection="1">
      <alignment horizontal="center" vertical="center"/>
      <protection locked="0"/>
    </xf>
    <xf numFmtId="0" fontId="3" fillId="0" borderId="24" xfId="3" applyBorder="1" applyAlignment="1">
      <alignment horizontal="center" vertical="center" wrapText="1"/>
      <protection locked="0"/>
    </xf>
    <xf numFmtId="0" fontId="13" fillId="7" borderId="4" xfId="2" applyAlignment="1">
      <alignment wrapText="1"/>
    </xf>
    <xf numFmtId="0" fontId="15" fillId="7" borderId="4" xfId="2" applyFont="1" applyAlignment="1">
      <alignment horizontal="center" wrapText="1"/>
    </xf>
    <xf numFmtId="0" fontId="16" fillId="0" borderId="0" xfId="4" applyFont="1" applyAlignment="1">
      <alignment vertical="center"/>
    </xf>
    <xf numFmtId="0" fontId="17" fillId="6" borderId="4" xfId="1" applyFont="1" applyAlignment="1">
      <alignment horizontal="center" vertical="center" wrapText="1"/>
    </xf>
    <xf numFmtId="0" fontId="17" fillId="6" borderId="4" xfId="1" applyFont="1" applyAlignment="1">
      <alignment vertical="center" wrapText="1"/>
    </xf>
    <xf numFmtId="0" fontId="17" fillId="6" borderId="4" xfId="1" applyFont="1" applyAlignment="1">
      <alignment horizontal="left" vertical="center" wrapText="1"/>
    </xf>
    <xf numFmtId="0" fontId="17" fillId="7" borderId="4" xfId="2" applyFont="1" applyAlignment="1">
      <alignment horizontal="center" vertical="center" wrapText="1"/>
    </xf>
    <xf numFmtId="0" fontId="17" fillId="7" borderId="4" xfId="2" applyFont="1" applyAlignment="1">
      <alignment vertical="center" wrapText="1"/>
    </xf>
    <xf numFmtId="0" fontId="17" fillId="7" borderId="4" xfId="2" applyFont="1" applyAlignment="1">
      <alignment wrapText="1"/>
    </xf>
    <xf numFmtId="0" fontId="6" fillId="7" borderId="4" xfId="2" applyFont="1" applyAlignment="1">
      <alignment horizontal="center" wrapText="1"/>
    </xf>
    <xf numFmtId="0" fontId="3" fillId="0" borderId="0" xfId="0" applyFont="1" applyAlignment="1" applyProtection="1">
      <alignment horizontal="center" vertical="center"/>
      <protection locked="0"/>
    </xf>
    <xf numFmtId="0" fontId="3" fillId="9" borderId="1" xfId="3" applyFill="1" applyAlignment="1">
      <alignment horizontal="center" vertical="center" wrapText="1"/>
      <protection locked="0"/>
    </xf>
    <xf numFmtId="0" fontId="3" fillId="10" borderId="1" xfId="3" applyFill="1" applyAlignment="1">
      <alignment horizontal="center" vertical="center" wrapText="1"/>
      <protection locked="0"/>
    </xf>
    <xf numFmtId="0" fontId="3" fillId="0" borderId="23" xfId="3" applyBorder="1" applyAlignment="1">
      <alignment horizontal="center" vertical="center" wrapText="1"/>
      <protection locked="0"/>
    </xf>
    <xf numFmtId="0" fontId="3" fillId="0" borderId="25" xfId="3" applyBorder="1" applyAlignment="1">
      <alignment horizontal="center" vertical="center" wrapText="1"/>
      <protection locked="0"/>
    </xf>
    <xf numFmtId="0" fontId="3" fillId="0" borderId="24" xfId="3" applyBorder="1" applyAlignment="1">
      <alignment horizontal="center" vertical="center" wrapText="1"/>
      <protection locked="0"/>
    </xf>
    <xf numFmtId="0" fontId="3" fillId="0" borderId="23" xfId="3" applyBorder="1" applyAlignment="1">
      <alignment horizontal="left" vertical="center" wrapText="1"/>
      <protection locked="0"/>
    </xf>
    <xf numFmtId="0" fontId="3" fillId="0" borderId="24" xfId="3" applyBorder="1" applyAlignment="1">
      <alignment horizontal="left" vertical="center" wrapText="1"/>
      <protection locked="0"/>
    </xf>
    <xf numFmtId="0" fontId="3" fillId="0" borderId="26" xfId="3" applyBorder="1" applyAlignment="1">
      <alignment horizontal="left" vertical="center" wrapText="1"/>
      <protection locked="0"/>
    </xf>
    <xf numFmtId="0" fontId="3" fillId="0" borderId="26" xfId="3" applyBorder="1" applyAlignment="1">
      <alignment horizontal="center" vertical="center" wrapText="1"/>
      <protection locked="0"/>
    </xf>
    <xf numFmtId="0" fontId="3" fillId="0" borderId="1" xfId="3" applyAlignment="1">
      <alignment horizontal="center" vertical="center" wrapText="1"/>
      <protection locked="0"/>
    </xf>
    <xf numFmtId="0" fontId="3" fillId="0" borderId="1" xfId="3" applyAlignment="1">
      <alignment horizontal="left" vertical="center" wrapText="1"/>
      <protection locked="0"/>
    </xf>
    <xf numFmtId="0" fontId="3" fillId="0" borderId="25" xfId="3" applyBorder="1" applyAlignment="1">
      <alignment horizontal="left" vertical="center" wrapText="1"/>
      <protection locked="0"/>
    </xf>
    <xf numFmtId="14" fontId="12" fillId="2" borderId="12" xfId="0" applyNumberFormat="1" applyFont="1" applyFill="1" applyBorder="1" applyAlignment="1">
      <alignment horizontal="center" vertical="center" wrapText="1"/>
    </xf>
    <xf numFmtId="14" fontId="12" fillId="2" borderId="13" xfId="0" applyNumberFormat="1" applyFont="1" applyFill="1" applyBorder="1" applyAlignment="1">
      <alignment horizontal="center" vertical="center" wrapText="1"/>
    </xf>
    <xf numFmtId="14" fontId="8" fillId="0" borderId="11" xfId="0" applyNumberFormat="1" applyFont="1" applyBorder="1" applyAlignment="1">
      <alignment horizontal="center" vertical="center" wrapText="1"/>
    </xf>
    <xf numFmtId="14" fontId="8" fillId="0" borderId="10" xfId="0" applyNumberFormat="1" applyFont="1" applyBorder="1" applyAlignment="1">
      <alignment horizontal="center" vertical="center" wrapText="1"/>
    </xf>
    <xf numFmtId="14" fontId="8" fillId="0" borderId="19" xfId="0" applyNumberFormat="1" applyFont="1" applyBorder="1" applyAlignment="1">
      <alignment horizontal="center" vertical="center" wrapText="1"/>
    </xf>
    <xf numFmtId="14" fontId="8" fillId="0" borderId="18" xfId="0" applyNumberFormat="1" applyFont="1" applyBorder="1" applyAlignment="1">
      <alignment horizontal="center" vertical="center" wrapText="1"/>
    </xf>
    <xf numFmtId="0" fontId="3" fillId="0" borderId="27" xfId="3" applyBorder="1" applyAlignment="1">
      <alignment horizontal="center" vertical="center" wrapText="1"/>
      <protection locked="0"/>
    </xf>
    <xf numFmtId="0" fontId="3" fillId="0" borderId="27" xfId="3" applyBorder="1" applyAlignment="1">
      <alignment horizontal="left" vertical="center" wrapText="1"/>
      <protection locked="0"/>
    </xf>
  </cellXfs>
  <cellStyles count="6">
    <cellStyle name="CONDITIONS" xfId="2" xr:uid="{00000000-0005-0000-0000-000000000000}"/>
    <cellStyle name="Normal" xfId="0" builtinId="0"/>
    <cellStyle name="Normal 2" xfId="4" xr:uid="{00000000-0005-0000-0000-000002000000}"/>
    <cellStyle name="PASO ENSAYO" xfId="3" xr:uid="{00000000-0005-0000-0000-000003000000}"/>
    <cellStyle name="TEST CASE" xfId="1" xr:uid="{00000000-0005-0000-0000-000004000000}"/>
    <cellStyle name="TITULO" xfId="5" xr:uid="{00000000-0005-0000-0000-000005000000}"/>
  </cellStyles>
  <dxfs count="173">
    <dxf>
      <fill>
        <patternFill>
          <bgColor indexed="13"/>
        </patternFill>
      </fill>
    </dxf>
    <dxf>
      <font>
        <strike val="0"/>
      </font>
      <fill>
        <patternFill>
          <bgColor rgb="FF92D050"/>
        </patternFill>
      </fill>
    </dxf>
    <dxf>
      <fill>
        <patternFill>
          <bgColor theme="0" tint="-0.14996795556505021"/>
        </patternFill>
      </fill>
    </dxf>
    <dxf>
      <fill>
        <patternFill>
          <bgColor rgb="FFFF0000"/>
        </patternFill>
      </fill>
    </dxf>
    <dxf>
      <fill>
        <patternFill>
          <bgColor indexed="50"/>
        </patternFill>
      </fill>
    </dxf>
    <dxf>
      <font>
        <strike val="0"/>
      </font>
      <fill>
        <patternFill>
          <bgColor rgb="FFFF0000"/>
        </patternFill>
      </fill>
    </dxf>
    <dxf>
      <font>
        <strike val="0"/>
      </font>
      <fill>
        <patternFill>
          <bgColor rgb="FFFF0000"/>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ill>
        <patternFill>
          <bgColor indexed="50"/>
        </patternFill>
      </fill>
    </dxf>
    <dxf>
      <font>
        <strike val="0"/>
      </font>
      <fill>
        <patternFill>
          <bgColor rgb="FFFF0000"/>
        </patternFill>
      </fill>
    </dxf>
    <dxf>
      <font>
        <strike val="0"/>
      </font>
      <fill>
        <patternFill>
          <bgColor rgb="FFFF0000"/>
        </patternFill>
      </fill>
    </dxf>
    <dxf>
      <fill>
        <patternFill>
          <bgColor indexed="50"/>
        </patternFill>
      </fill>
    </dxf>
    <dxf>
      <font>
        <strike val="0"/>
      </font>
      <fill>
        <patternFill>
          <bgColor rgb="FFFF0000"/>
        </patternFill>
      </fill>
    </dxf>
    <dxf>
      <fill>
        <patternFill>
          <bgColor indexed="50"/>
        </patternFill>
      </fill>
    </dxf>
    <dxf>
      <font>
        <strike val="0"/>
      </font>
      <fill>
        <patternFill>
          <bgColor rgb="FFFF0000"/>
        </patternFill>
      </fill>
    </dxf>
    <dxf>
      <font>
        <strike val="0"/>
      </font>
      <fill>
        <patternFill>
          <bgColor rgb="FFFF0000"/>
        </patternFill>
      </fill>
    </dxf>
    <dxf>
      <fill>
        <patternFill>
          <bgColor indexed="50"/>
        </patternFill>
      </fill>
    </dxf>
    <dxf>
      <fill>
        <patternFill>
          <bgColor indexed="50"/>
        </patternFill>
      </fill>
    </dxf>
    <dxf>
      <fill>
        <patternFill>
          <bgColor indexed="50"/>
        </patternFill>
      </fill>
    </dxf>
    <dxf>
      <font>
        <strike val="0"/>
      </font>
      <fill>
        <patternFill>
          <bgColor rgb="FFFF0000"/>
        </patternFill>
      </fill>
    </dxf>
    <dxf>
      <fill>
        <patternFill>
          <bgColor indexed="50"/>
        </patternFill>
      </fill>
    </dxf>
    <dxf>
      <font>
        <strike val="0"/>
      </font>
      <fill>
        <patternFill>
          <bgColor rgb="FFFF0000"/>
        </patternFill>
      </fill>
    </dxf>
    <dxf>
      <fill>
        <patternFill>
          <bgColor indexed="50"/>
        </patternFill>
      </fill>
    </dxf>
    <dxf>
      <fill>
        <patternFill>
          <bgColor indexed="50"/>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FF0000"/>
        </patternFill>
      </fill>
    </dxf>
    <dxf>
      <fill>
        <patternFill>
          <bgColor indexed="50"/>
        </patternFill>
      </fill>
    </dxf>
    <dxf>
      <font>
        <strike val="0"/>
      </font>
      <fill>
        <patternFill>
          <bgColor rgb="FFFF0000"/>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ill>
        <patternFill>
          <bgColor indexed="50"/>
        </patternFill>
      </fill>
    </dxf>
    <dxf>
      <font>
        <strike val="0"/>
      </font>
      <fill>
        <patternFill>
          <bgColor rgb="FFFF0000"/>
        </patternFill>
      </fill>
    </dxf>
    <dxf>
      <font>
        <strike val="0"/>
      </font>
      <fill>
        <patternFill>
          <bgColor rgb="FFFF0000"/>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ill>
        <patternFill>
          <bgColor indexed="50"/>
        </patternFill>
      </fill>
    </dxf>
    <dxf>
      <fill>
        <patternFill>
          <bgColor indexed="13"/>
        </patternFill>
      </fill>
    </dxf>
    <dxf>
      <font>
        <strike val="0"/>
      </font>
      <fill>
        <patternFill>
          <bgColor rgb="FF92D050"/>
        </patternFill>
      </fill>
    </dxf>
    <dxf>
      <fill>
        <patternFill>
          <bgColor theme="0" tint="-0.14996795556505021"/>
        </patternFill>
      </fill>
    </dxf>
    <dxf>
      <fill>
        <patternFill>
          <bgColor rgb="FFFF0000"/>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FF0000"/>
        </patternFill>
      </fill>
    </dxf>
    <dxf>
      <fill>
        <patternFill>
          <bgColor indexed="50"/>
        </patternFill>
      </fill>
    </dxf>
    <dxf>
      <font>
        <strike val="0"/>
      </font>
      <fill>
        <patternFill>
          <bgColor rgb="FFFF0000"/>
        </patternFill>
      </fill>
    </dxf>
    <dxf>
      <font>
        <strike val="0"/>
      </font>
      <fill>
        <patternFill>
          <bgColor rgb="FFFF0000"/>
        </patternFill>
      </fill>
    </dxf>
    <dxf>
      <font>
        <strike val="0"/>
      </font>
      <fill>
        <patternFill>
          <bgColor rgb="FFFF0000"/>
        </patternFill>
      </fill>
    </dxf>
    <dxf>
      <fill>
        <patternFill>
          <bgColor indexed="50"/>
        </patternFill>
      </fill>
    </dxf>
    <dxf>
      <font>
        <strike val="0"/>
      </font>
      <fill>
        <patternFill>
          <bgColor rgb="FFFF0000"/>
        </patternFill>
      </fill>
    </dxf>
    <dxf>
      <font>
        <strike val="0"/>
      </font>
      <fill>
        <patternFill>
          <bgColor rgb="FFFF0000"/>
        </patternFill>
      </fill>
    </dxf>
    <dxf>
      <fill>
        <patternFill>
          <bgColor indexed="50"/>
        </patternFill>
      </fill>
    </dxf>
    <dxf>
      <font>
        <strike val="0"/>
      </font>
      <fill>
        <patternFill>
          <bgColor rgb="FFFF0000"/>
        </patternFill>
      </fill>
    </dxf>
    <dxf>
      <font>
        <strike val="0"/>
      </font>
      <fill>
        <patternFill>
          <bgColor rgb="FFFF0000"/>
        </patternFill>
      </fill>
    </dxf>
    <dxf>
      <fill>
        <patternFill>
          <bgColor indexed="50"/>
        </patternFill>
      </fill>
    </dxf>
    <dxf>
      <font>
        <strike val="0"/>
      </font>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ill>
        <patternFill>
          <bgColor indexed="50"/>
        </patternFill>
      </fill>
    </dxf>
    <dxf>
      <font>
        <strike val="0"/>
      </font>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ill>
        <patternFill>
          <bgColor indexed="50"/>
        </patternFill>
      </fill>
    </dxf>
    <dxf>
      <font>
        <strike val="0"/>
      </font>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FF0000"/>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ill>
        <patternFill>
          <bgColor indexed="50"/>
        </patternFill>
      </fill>
    </dxf>
    <dxf>
      <font>
        <strike val="0"/>
      </font>
      <fill>
        <patternFill>
          <bgColor rgb="FFFF0000"/>
        </patternFill>
      </fill>
    </dxf>
    <dxf>
      <fill>
        <patternFill>
          <bgColor indexed="13"/>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FF0000"/>
        </patternFill>
      </fill>
    </dxf>
    <dxf>
      <fill>
        <patternFill>
          <bgColor indexed="50"/>
        </patternFill>
      </fill>
    </dxf>
    <dxf>
      <fill>
        <patternFill>
          <bgColor indexed="50"/>
        </patternFill>
      </fill>
    </dxf>
    <dxf>
      <font>
        <strike val="0"/>
      </font>
      <fill>
        <patternFill>
          <bgColor rgb="FFFF0000"/>
        </patternFill>
      </fill>
    </dxf>
    <dxf>
      <fill>
        <patternFill>
          <bgColor indexed="50"/>
        </patternFill>
      </fill>
    </dxf>
    <dxf>
      <fill>
        <patternFill>
          <bgColor indexed="50"/>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FF0000"/>
        </patternFill>
      </fill>
    </dxf>
    <dxf>
      <fill>
        <patternFill>
          <bgColor indexed="50"/>
        </patternFill>
      </fill>
    </dxf>
    <dxf>
      <fill>
        <patternFill>
          <bgColor indexed="13"/>
        </patternFill>
      </fill>
    </dxf>
    <dxf>
      <fill>
        <patternFill>
          <bgColor indexed="50"/>
        </patternFill>
      </fill>
    </dxf>
    <dxf>
      <fill>
        <patternFill>
          <bgColor indexed="50"/>
        </patternFill>
      </fill>
    </dxf>
    <dxf>
      <font>
        <strike val="0"/>
      </font>
      <fill>
        <patternFill>
          <bgColor rgb="FFFF0000"/>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FF0000"/>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ill>
        <patternFill>
          <bgColor indexed="50"/>
        </patternFill>
      </fill>
    </dxf>
    <dxf>
      <font>
        <strike val="0"/>
      </font>
      <fill>
        <patternFill>
          <bgColor rgb="FF92D050"/>
        </patternFill>
      </fill>
    </dxf>
    <dxf>
      <fill>
        <patternFill>
          <bgColor theme="0" tint="-0.14996795556505021"/>
        </patternFill>
      </fill>
    </dxf>
    <dxf>
      <fill>
        <patternFill>
          <bgColor rgb="FFFF0000"/>
        </patternFill>
      </fill>
    </dxf>
    <dxf>
      <font>
        <strike val="0"/>
      </font>
      <fill>
        <patternFill>
          <bgColor rgb="FFFF0000"/>
        </patternFill>
      </fill>
    </dxf>
    <dxf>
      <fill>
        <patternFill>
          <bgColor indexed="50"/>
        </patternFill>
      </fill>
    </dxf>
    <dxf>
      <font>
        <strike val="0"/>
      </font>
      <fill>
        <patternFill>
          <bgColor rgb="FFFF0000"/>
        </patternFill>
      </fill>
    </dxf>
    <dxf>
      <font>
        <strike val="0"/>
      </font>
      <fill>
        <patternFill>
          <bgColor rgb="FF92D050"/>
        </patternFill>
      </fill>
    </dxf>
    <dxf>
      <fill>
        <patternFill>
          <bgColor theme="0" tint="-0.14996795556505021"/>
        </patternFill>
      </fill>
    </dxf>
    <dxf>
      <fill>
        <patternFill>
          <bgColor rgb="FFFF0000"/>
        </patternFill>
      </fill>
    </dxf>
    <dxf>
      <fill>
        <patternFill>
          <bgColor indexed="13"/>
        </patternFill>
      </fill>
    </dxf>
    <dxf>
      <fill>
        <patternFill>
          <bgColor indexed="13"/>
        </patternFill>
      </fill>
    </dxf>
  </dxfs>
  <tableStyles count="0" defaultTableStyle="TableStyleMedium9"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openxmlformats.org/officeDocument/2006/relationships/customXml" Target="../customXml/item4.xml"/><Relationship Id="rId3" Type="http://schemas.openxmlformats.org/officeDocument/2006/relationships/theme" Target="theme/theme1.xml"/><Relationship Id="rId7" Type="http://schemas.microsoft.com/office/2017/10/relationships/person" Target="persons/person.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connections" Target="connections.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0</xdr:col>
      <xdr:colOff>333375</xdr:colOff>
      <xdr:row>4</xdr:row>
      <xdr:rowOff>38101</xdr:rowOff>
    </xdr:from>
    <xdr:to>
      <xdr:col>7</xdr:col>
      <xdr:colOff>333375</xdr:colOff>
      <xdr:row>6</xdr:row>
      <xdr:rowOff>85725</xdr:rowOff>
    </xdr:to>
    <xdr:sp macro="" textlink="">
      <xdr:nvSpPr>
        <xdr:cNvPr id="2" name="CuadroTexto 1">
          <a:extLst>
            <a:ext uri="{FF2B5EF4-FFF2-40B4-BE49-F238E27FC236}">
              <a16:creationId xmlns:a16="http://schemas.microsoft.com/office/drawing/2014/main" id="{00000000-0008-0000-0000-000002000000}"/>
            </a:ext>
          </a:extLst>
        </xdr:cNvPr>
        <xdr:cNvSpPr txBox="1"/>
      </xdr:nvSpPr>
      <xdr:spPr>
        <a:xfrm>
          <a:off x="333375" y="361951"/>
          <a:ext cx="10201275" cy="371474"/>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Seleccionar</a:t>
          </a:r>
          <a:r>
            <a:rPr lang="es-ES" sz="1100" baseline="0"/>
            <a:t> el protocolo que se desea exportar.</a:t>
          </a:r>
        </a:p>
        <a:p>
          <a:r>
            <a:rPr lang="es-ES" sz="1100" baseline="0"/>
            <a:t>Select Procedure to Export</a:t>
          </a:r>
          <a:endParaRPr lang="es-ES" sz="1100"/>
        </a:p>
      </xdr:txBody>
    </xdr:sp>
    <xdr:clientData/>
  </xdr:twoCellAnchor>
  <xdr:twoCellAnchor>
    <xdr:from>
      <xdr:col>0</xdr:col>
      <xdr:colOff>304800</xdr:colOff>
      <xdr:row>11</xdr:row>
      <xdr:rowOff>76201</xdr:rowOff>
    </xdr:from>
    <xdr:to>
      <xdr:col>3</xdr:col>
      <xdr:colOff>714375</xdr:colOff>
      <xdr:row>14</xdr:row>
      <xdr:rowOff>47626</xdr:rowOff>
    </xdr:to>
    <xdr:sp macro="" textlink="">
      <xdr:nvSpPr>
        <xdr:cNvPr id="3" name="CuadroTexto 2">
          <a:extLst>
            <a:ext uri="{FF2B5EF4-FFF2-40B4-BE49-F238E27FC236}">
              <a16:creationId xmlns:a16="http://schemas.microsoft.com/office/drawing/2014/main" id="{00000000-0008-0000-0000-000003000000}"/>
            </a:ext>
          </a:extLst>
        </xdr:cNvPr>
        <xdr:cNvSpPr txBox="1"/>
      </xdr:nvSpPr>
      <xdr:spPr>
        <a:xfrm>
          <a:off x="304800" y="1533526"/>
          <a:ext cx="5153025" cy="4572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Listado de protocolos:</a:t>
          </a:r>
          <a:endParaRPr lang="es-ES" sz="1100" b="1" i="0" u="none" strike="noStrike">
            <a:solidFill>
              <a:schemeClr val="dk1"/>
            </a:solidFill>
            <a:effectLst/>
            <a:latin typeface="+mn-lt"/>
            <a:ea typeface="+mn-ea"/>
            <a:cs typeface="+mn-cs"/>
          </a:endParaRPr>
        </a:p>
        <a:p>
          <a:r>
            <a:rPr lang="es-ES"/>
            <a:t>De esta matriz se coge la información para completar</a:t>
          </a:r>
          <a:r>
            <a:rPr lang="es-ES" baseline="0"/>
            <a:t> los cajetines y realizar los filtros.</a:t>
          </a:r>
          <a:endParaRPr lang="es-ES" sz="1100"/>
        </a:p>
      </xdr:txBody>
    </xdr:sp>
    <xdr:clientData/>
  </xdr:twoCellAnchor>
  <mc:AlternateContent xmlns:mc="http://schemas.openxmlformats.org/markup-compatibility/2006">
    <mc:Choice xmlns:a14="http://schemas.microsoft.com/office/drawing/2010/main" Requires="a14">
      <xdr:twoCellAnchor>
        <xdr:from>
          <xdr:col>8</xdr:col>
          <xdr:colOff>95250</xdr:colOff>
          <xdr:row>5</xdr:row>
          <xdr:rowOff>38100</xdr:rowOff>
        </xdr:from>
        <xdr:to>
          <xdr:col>9</xdr:col>
          <xdr:colOff>361950</xdr:colOff>
          <xdr:row>7</xdr:row>
          <xdr:rowOff>57150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752475</xdr:colOff>
          <xdr:row>4</xdr:row>
          <xdr:rowOff>0</xdr:rowOff>
        </xdr:from>
        <xdr:to>
          <xdr:col>11</xdr:col>
          <xdr:colOff>514350</xdr:colOff>
          <xdr:row>13</xdr:row>
          <xdr:rowOff>104775</xdr:rowOff>
        </xdr:to>
        <xdr:sp macro="" textlink="">
          <xdr:nvSpPr>
            <xdr:cNvPr id="1030" name="Group Box 6" descr="ACCIONES/ACTIONS"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ES" sz="800" b="0" i="0" u="none" strike="noStrike" baseline="0">
                  <a:solidFill>
                    <a:srgbClr val="000000"/>
                  </a:solidFill>
                  <a:latin typeface="Segoe UI"/>
                  <a:cs typeface="Segoe UI"/>
                </a:rPr>
                <a:t>ACCIONES</a:t>
              </a:r>
            </a:p>
          </xdr:txBody>
        </xdr:sp>
        <xdr:clientData/>
      </xdr:twoCellAnchor>
    </mc:Choice>
    <mc:Fallback/>
  </mc:AlternateContent>
  <xdr:twoCellAnchor>
    <xdr:from>
      <xdr:col>0</xdr:col>
      <xdr:colOff>304800</xdr:colOff>
      <xdr:row>3</xdr:row>
      <xdr:rowOff>152400</xdr:rowOff>
    </xdr:from>
    <xdr:to>
      <xdr:col>7</xdr:col>
      <xdr:colOff>390525</xdr:colOff>
      <xdr:row>10</xdr:row>
      <xdr:rowOff>95250</xdr:rowOff>
    </xdr:to>
    <xdr:sp macro="" textlink="">
      <xdr:nvSpPr>
        <xdr:cNvPr id="4" name="Rectángulo 3">
          <a:extLst>
            <a:ext uri="{FF2B5EF4-FFF2-40B4-BE49-F238E27FC236}">
              <a16:creationId xmlns:a16="http://schemas.microsoft.com/office/drawing/2014/main" id="{00000000-0008-0000-0000-000004000000}"/>
            </a:ext>
          </a:extLst>
        </xdr:cNvPr>
        <xdr:cNvSpPr/>
      </xdr:nvSpPr>
      <xdr:spPr bwMode="auto">
        <a:xfrm>
          <a:off x="304800" y="314325"/>
          <a:ext cx="10287000" cy="1076325"/>
        </a:xfrm>
        <a:prstGeom prst="rect">
          <a:avLst/>
        </a:prstGeom>
        <a:noFill/>
        <a:ln w="9525" cap="flat" cmpd="sng" algn="ctr">
          <a:solidFill>
            <a:srgbClr val="000000"/>
          </a:solidFill>
          <a:prstDash val="solid"/>
          <a:round/>
          <a:headEnd type="none" w="med" len="med"/>
          <a:tailEnd type="none" w="med" len="med"/>
        </a:ln>
        <a:effectLst>
          <a:outerShdw blurRad="50800" dist="38100" dir="5400000" algn="t" rotWithShape="0">
            <a:prstClr val="black">
              <a:alpha val="40000"/>
            </a:prstClr>
          </a:outerShdw>
        </a:effectLst>
      </xdr:spPr>
      <xdr:txBody>
        <a:bodyPr vertOverflow="clip" wrap="square" lIns="18288" tIns="0" rIns="0" bIns="0" rtlCol="0" anchor="ctr" upright="1"/>
        <a:lstStyle/>
        <a:p>
          <a:pPr algn="l"/>
          <a:endParaRPr lang="es-ES" sz="1100"/>
        </a:p>
      </xdr:txBody>
    </xdr:sp>
    <xdr:clientData/>
  </xdr:twoCellAnchor>
  <xdr:twoCellAnchor>
    <xdr:from>
      <xdr:col>3</xdr:col>
      <xdr:colOff>762000</xdr:colOff>
      <xdr:row>11</xdr:row>
      <xdr:rowOff>76201</xdr:rowOff>
    </xdr:from>
    <xdr:to>
      <xdr:col>7</xdr:col>
      <xdr:colOff>381000</xdr:colOff>
      <xdr:row>14</xdr:row>
      <xdr:rowOff>47626</xdr:rowOff>
    </xdr:to>
    <xdr:sp macro="" textlink="">
      <xdr:nvSpPr>
        <xdr:cNvPr id="5" name="CuadroTexto 4">
          <a:extLst>
            <a:ext uri="{FF2B5EF4-FFF2-40B4-BE49-F238E27FC236}">
              <a16:creationId xmlns:a16="http://schemas.microsoft.com/office/drawing/2014/main" id="{00000000-0008-0000-0000-000005000000}"/>
            </a:ext>
          </a:extLst>
        </xdr:cNvPr>
        <xdr:cNvSpPr txBox="1"/>
      </xdr:nvSpPr>
      <xdr:spPr>
        <a:xfrm>
          <a:off x="5505450" y="1533526"/>
          <a:ext cx="5076825" cy="45720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Procedure List</a:t>
          </a:r>
          <a:endParaRPr lang="es-ES" sz="1100" b="1" i="0" u="none" strike="noStrike">
            <a:solidFill>
              <a:schemeClr val="dk1"/>
            </a:solidFill>
            <a:effectLst/>
            <a:latin typeface="+mn-lt"/>
            <a:ea typeface="+mn-ea"/>
            <a:cs typeface="+mn-cs"/>
          </a:endParaRPr>
        </a:p>
        <a:p>
          <a:r>
            <a:rPr lang="es-ES"/>
            <a:t>Form this list all teh information</a:t>
          </a:r>
          <a:r>
            <a:rPr lang="es-ES" baseline="0"/>
            <a:t> is obtained.</a:t>
          </a:r>
          <a:endParaRPr lang="es-ES" sz="1100"/>
        </a:p>
      </xdr:txBody>
    </xdr:sp>
    <xdr:clientData/>
  </xdr:twoCellAnchor>
  <mc:AlternateContent xmlns:mc="http://schemas.openxmlformats.org/markup-compatibility/2006">
    <mc:Choice xmlns:a14="http://schemas.microsoft.com/office/drawing/2010/main" Requires="a14">
      <xdr:twoCellAnchor>
        <xdr:from>
          <xdr:col>8</xdr:col>
          <xdr:colOff>104775</xdr:colOff>
          <xdr:row>8</xdr:row>
          <xdr:rowOff>19050</xdr:rowOff>
        </xdr:from>
        <xdr:to>
          <xdr:col>9</xdr:col>
          <xdr:colOff>342900</xdr:colOff>
          <xdr:row>10</xdr:row>
          <xdr:rowOff>38100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Export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114300</xdr:colOff>
          <xdr:row>10</xdr:row>
          <xdr:rowOff>152400</xdr:rowOff>
        </xdr:from>
        <xdr:to>
          <xdr:col>9</xdr:col>
          <xdr:colOff>361950</xdr:colOff>
          <xdr:row>12</xdr:row>
          <xdr:rowOff>133350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COMPARE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514350</xdr:colOff>
          <xdr:row>5</xdr:row>
          <xdr:rowOff>57150</xdr:rowOff>
        </xdr:from>
        <xdr:to>
          <xdr:col>11</xdr:col>
          <xdr:colOff>190500</xdr:colOff>
          <xdr:row>7</xdr:row>
          <xdr:rowOff>19050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RESET FILTER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112059</xdr:colOff>
      <xdr:row>0</xdr:row>
      <xdr:rowOff>235323</xdr:rowOff>
    </xdr:from>
    <xdr:to>
      <xdr:col>1</xdr:col>
      <xdr:colOff>555140</xdr:colOff>
      <xdr:row>1</xdr:row>
      <xdr:rowOff>248621</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2059" y="235323"/>
          <a:ext cx="880110" cy="360680"/>
        </a:xfrm>
        <a:prstGeom prst="rect">
          <a:avLst/>
        </a:prstGeom>
        <a:noFill/>
        <a:ln>
          <a:noFill/>
        </a:ln>
      </xdr:spPr>
    </xdr:pic>
    <xdr:clientData/>
  </xdr:twoCellAnchor>
  <xdr:twoCellAnchor>
    <xdr:from>
      <xdr:col>3</xdr:col>
      <xdr:colOff>0</xdr:colOff>
      <xdr:row>181</xdr:row>
      <xdr:rowOff>56030</xdr:rowOff>
    </xdr:from>
    <xdr:to>
      <xdr:col>10</xdr:col>
      <xdr:colOff>1918182</xdr:colOff>
      <xdr:row>181</xdr:row>
      <xdr:rowOff>1176617</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490882" y="17783736"/>
          <a:ext cx="9089947" cy="1120587"/>
        </a:xfrm>
        <a:prstGeom prst="rect">
          <a:avLst/>
        </a:prstGeom>
      </xdr:spPr>
    </xdr:pic>
    <xdr:clientData/>
  </xdr:twoCellAnchor>
  <xdr:twoCellAnchor>
    <xdr:from>
      <xdr:col>3</xdr:col>
      <xdr:colOff>0</xdr:colOff>
      <xdr:row>164</xdr:row>
      <xdr:rowOff>56030</xdr:rowOff>
    </xdr:from>
    <xdr:to>
      <xdr:col>10</xdr:col>
      <xdr:colOff>1918182</xdr:colOff>
      <xdr:row>164</xdr:row>
      <xdr:rowOff>1176617</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490882" y="13335001"/>
          <a:ext cx="9089947" cy="1120587"/>
        </a:xfrm>
        <a:prstGeom prst="rect">
          <a:avLst/>
        </a:prstGeom>
      </xdr:spPr>
    </xdr:pic>
    <xdr:clientData/>
  </xdr:twoCellAnchor>
  <xdr:twoCellAnchor>
    <xdr:from>
      <xdr:col>2</xdr:col>
      <xdr:colOff>4381499</xdr:colOff>
      <xdr:row>199</xdr:row>
      <xdr:rowOff>78441</xdr:rowOff>
    </xdr:from>
    <xdr:to>
      <xdr:col>10</xdr:col>
      <xdr:colOff>1918181</xdr:colOff>
      <xdr:row>199</xdr:row>
      <xdr:rowOff>1199028</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490881" y="40531676"/>
          <a:ext cx="9089947" cy="1120587"/>
        </a:xfrm>
        <a:prstGeom prst="rect">
          <a:avLst/>
        </a:prstGeom>
      </xdr:spPr>
    </xdr:pic>
    <xdr:clientData/>
  </xdr:twoCellAnchor>
  <xdr:twoCellAnchor>
    <xdr:from>
      <xdr:col>3</xdr:col>
      <xdr:colOff>1086972</xdr:colOff>
      <xdr:row>100</xdr:row>
      <xdr:rowOff>44824</xdr:rowOff>
    </xdr:from>
    <xdr:to>
      <xdr:col>10</xdr:col>
      <xdr:colOff>1367117</xdr:colOff>
      <xdr:row>100</xdr:row>
      <xdr:rowOff>1097477</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77854" y="13189324"/>
          <a:ext cx="8538882" cy="1052653"/>
        </a:xfrm>
        <a:prstGeom prst="rect">
          <a:avLst/>
        </a:prstGeom>
      </xdr:spPr>
    </xdr:pic>
    <xdr:clientData/>
  </xdr:twoCellAnchor>
  <xdr:twoCellAnchor>
    <xdr:from>
      <xdr:col>4</xdr:col>
      <xdr:colOff>0</xdr:colOff>
      <xdr:row>108</xdr:row>
      <xdr:rowOff>44824</xdr:rowOff>
    </xdr:from>
    <xdr:to>
      <xdr:col>10</xdr:col>
      <xdr:colOff>1367117</xdr:colOff>
      <xdr:row>108</xdr:row>
      <xdr:rowOff>1097477</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00265" y="15912353"/>
          <a:ext cx="8538882" cy="1052653"/>
        </a:xfrm>
        <a:prstGeom prst="rect">
          <a:avLst/>
        </a:prstGeom>
      </xdr:spPr>
    </xdr:pic>
    <xdr:clientData/>
  </xdr:twoCellAnchor>
  <xdr:twoCellAnchor>
    <xdr:from>
      <xdr:col>4</xdr:col>
      <xdr:colOff>11206</xdr:colOff>
      <xdr:row>50</xdr:row>
      <xdr:rowOff>33619</xdr:rowOff>
    </xdr:from>
    <xdr:to>
      <xdr:col>10</xdr:col>
      <xdr:colOff>1882588</xdr:colOff>
      <xdr:row>50</xdr:row>
      <xdr:rowOff>1148437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02088" y="15531354"/>
          <a:ext cx="9043147" cy="1114818"/>
        </a:xfrm>
        <a:prstGeom prst="rect">
          <a:avLst/>
        </a:prstGeom>
      </xdr:spPr>
    </xdr:pic>
    <xdr:clientData/>
  </xdr:twoCellAnchor>
  <xdr:twoCellAnchor>
    <xdr:from>
      <xdr:col>4</xdr:col>
      <xdr:colOff>11207</xdr:colOff>
      <xdr:row>68</xdr:row>
      <xdr:rowOff>33618</xdr:rowOff>
    </xdr:from>
    <xdr:to>
      <xdr:col>10</xdr:col>
      <xdr:colOff>1815354</xdr:colOff>
      <xdr:row>68</xdr:row>
      <xdr:rowOff>1140147</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02089" y="24832236"/>
          <a:ext cx="8975912" cy="1106529"/>
        </a:xfrm>
        <a:prstGeom prst="rect">
          <a:avLst/>
        </a:prstGeom>
      </xdr:spPr>
    </xdr:pic>
    <xdr:clientData/>
  </xdr:twoCellAnchor>
  <xdr:twoCellAnchor>
    <xdr:from>
      <xdr:col>4</xdr:col>
      <xdr:colOff>11207</xdr:colOff>
      <xdr:row>6</xdr:row>
      <xdr:rowOff>29883</xdr:rowOff>
    </xdr:from>
    <xdr:to>
      <xdr:col>10</xdr:col>
      <xdr:colOff>1243854</xdr:colOff>
      <xdr:row>6</xdr:row>
      <xdr:rowOff>1065959</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763560" y="2853765"/>
          <a:ext cx="8740588" cy="1036076"/>
        </a:xfrm>
        <a:prstGeom prst="rect">
          <a:avLst/>
        </a:prstGeom>
      </xdr:spPr>
    </xdr:pic>
    <xdr:clientData/>
  </xdr:twoCellAnchor>
  <xdr:twoCellAnchor>
    <xdr:from>
      <xdr:col>3</xdr:col>
      <xdr:colOff>0</xdr:colOff>
      <xdr:row>171</xdr:row>
      <xdr:rowOff>56030</xdr:rowOff>
    </xdr:from>
    <xdr:to>
      <xdr:col>10</xdr:col>
      <xdr:colOff>1918182</xdr:colOff>
      <xdr:row>171</xdr:row>
      <xdr:rowOff>1176617</xdr:rowOff>
    </xdr:to>
    <xdr:pic>
      <xdr:nvPicPr>
        <xdr:cNvPr id="4" name="Picture 12">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490882" y="40688559"/>
          <a:ext cx="9089947" cy="1120587"/>
        </a:xfrm>
        <a:prstGeom prst="rect">
          <a:avLst/>
        </a:prstGeom>
      </xdr:spPr>
    </xdr:pic>
    <xdr:clientData/>
  </xdr:twoCellAnchor>
  <xdr:twoCellAnchor>
    <xdr:from>
      <xdr:col>3</xdr:col>
      <xdr:colOff>0</xdr:colOff>
      <xdr:row>188</xdr:row>
      <xdr:rowOff>56030</xdr:rowOff>
    </xdr:from>
    <xdr:to>
      <xdr:col>10</xdr:col>
      <xdr:colOff>1918182</xdr:colOff>
      <xdr:row>188</xdr:row>
      <xdr:rowOff>1176617</xdr:rowOff>
    </xdr:to>
    <xdr:pic>
      <xdr:nvPicPr>
        <xdr:cNvPr id="5" name="Picture 12">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490882" y="46907824"/>
          <a:ext cx="9089947" cy="1120587"/>
        </a:xfrm>
        <a:prstGeom prst="rect">
          <a:avLst/>
        </a:prstGeom>
      </xdr:spPr>
    </xdr:pic>
    <xdr:clientData/>
  </xdr:twoCellAnchor>
  <xdr:twoCellAnchor>
    <xdr:from>
      <xdr:col>4</xdr:col>
      <xdr:colOff>11207</xdr:colOff>
      <xdr:row>36</xdr:row>
      <xdr:rowOff>22413</xdr:rowOff>
    </xdr:from>
    <xdr:to>
      <xdr:col>10</xdr:col>
      <xdr:colOff>1243854</xdr:colOff>
      <xdr:row>36</xdr:row>
      <xdr:rowOff>1058489</xdr:rowOff>
    </xdr:to>
    <xdr:pic>
      <xdr:nvPicPr>
        <xdr:cNvPr id="10" name="Picture 9">
          <a:extLst>
            <a:ext uri="{FF2B5EF4-FFF2-40B4-BE49-F238E27FC236}">
              <a16:creationId xmlns:a16="http://schemas.microsoft.com/office/drawing/2014/main" id="{00000000-0008-0000-0100-00000A000000}"/>
            </a:ext>
            <a:ext uri="{147F2762-F138-4A5C-976F-8EAC2B608ADB}">
              <a16:predDERef xmlns:a16="http://schemas.microsoft.com/office/drawing/2014/main" pred="{00000000-0008-0000-0100-00000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02089" y="3070413"/>
          <a:ext cx="8404412" cy="1036076"/>
        </a:xfrm>
        <a:prstGeom prst="rect">
          <a:avLst/>
        </a:prstGeom>
      </xdr:spPr>
    </xdr:pic>
    <xdr:clientData/>
  </xdr:twoCellAnchor>
  <xdr:twoCellAnchor>
    <xdr:from>
      <xdr:col>3</xdr:col>
      <xdr:colOff>0</xdr:colOff>
      <xdr:row>117</xdr:row>
      <xdr:rowOff>89648</xdr:rowOff>
    </xdr:from>
    <xdr:to>
      <xdr:col>10</xdr:col>
      <xdr:colOff>1367117</xdr:colOff>
      <xdr:row>117</xdr:row>
      <xdr:rowOff>1142301</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490882" y="56589707"/>
          <a:ext cx="8538882" cy="1052653"/>
        </a:xfrm>
        <a:prstGeom prst="rect">
          <a:avLst/>
        </a:prstGeom>
      </xdr:spPr>
    </xdr:pic>
    <xdr:clientData/>
  </xdr:twoCellAnchor>
  <xdr:twoCellAnchor>
    <xdr:from>
      <xdr:col>2</xdr:col>
      <xdr:colOff>4381499</xdr:colOff>
      <xdr:row>235</xdr:row>
      <xdr:rowOff>78441</xdr:rowOff>
    </xdr:from>
    <xdr:to>
      <xdr:col>10</xdr:col>
      <xdr:colOff>1918181</xdr:colOff>
      <xdr:row>235</xdr:row>
      <xdr:rowOff>1199028</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39440" y="88037147"/>
          <a:ext cx="9639035" cy="1120587"/>
        </a:xfrm>
        <a:prstGeom prst="rect">
          <a:avLst/>
        </a:prstGeom>
      </xdr:spPr>
    </xdr:pic>
    <xdr:clientData/>
  </xdr:twoCellAnchor>
  <xdr:twoCellAnchor>
    <xdr:from>
      <xdr:col>2</xdr:col>
      <xdr:colOff>4381499</xdr:colOff>
      <xdr:row>217</xdr:row>
      <xdr:rowOff>78441</xdr:rowOff>
    </xdr:from>
    <xdr:to>
      <xdr:col>10</xdr:col>
      <xdr:colOff>1918181</xdr:colOff>
      <xdr:row>217</xdr:row>
      <xdr:rowOff>1199028</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5539440" y="88037147"/>
          <a:ext cx="9639035" cy="112058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JoseLuis Asensio" id="{7C15D8A3-28E1-41FE-87D6-AFFF9BF30C2C}" userId="S::jlasensio@caf.net::739e03d3-ba63-4598-965d-b1fc5e52d370" providerId="AD"/>
  <person displayName="HIMANSHU SHEKHAR" id="{3FB28020-20E4-436D-9880-F2DE8367E31B}" userId="S::himanshu.shekhar@caf.net::1791076f-2cf7-4780-b10a-714cb8a186a6" providerId="AD"/>
</personList>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9" dT="2023-06-02T09:30:26.67" personId="{7C15D8A3-28E1-41FE-87D6-AFFF9BF30C2C}" id="{372B6492-3FF5-45E0-B8B2-F3D8524FA49A}" done="1">
    <text>Provide separate steps for left and right doors</text>
  </threadedComment>
  <threadedComment ref="C9" dT="2023-06-15T06:32:18.59" personId="{3FB28020-20E4-436D-9880-F2DE8367E31B}" id="{54A92F3B-1965-40EE-B0D7-CAB1466A5308}" parentId="{372B6492-3FF5-45E0-B8B2-F3D8524FA49A}">
    <text xml:space="preserve">Split for Left &amp; Right side. </text>
  </threadedComment>
  <threadedComment ref="D9" dT="2023-06-02T09:30:26.67" personId="{7C15D8A3-28E1-41FE-87D6-AFFF9BF30C2C}" id="{23761429-A9F1-4558-931C-2FC711075BA8}" done="1">
    <text>Provide separate steps for left and right doors</text>
  </threadedComment>
  <threadedComment ref="D9" dT="2023-06-15T06:32:18.59" personId="{3FB28020-20E4-436D-9880-F2DE8367E31B}" id="{D377781D-3524-480F-87F7-D19FA1DBA49C}" parentId="{23761429-A9F1-4558-931C-2FC711075BA8}">
    <text xml:space="preserve">Split for Left &amp; Right side. </text>
  </threadedComment>
  <threadedComment ref="C11" dT="2023-06-02T11:45:58.84" personId="{7C15D8A3-28E1-41FE-87D6-AFFF9BF30C2C}" id="{690CD396-538C-46C9-928C-5D49D1B8A7C9}" done="1">
    <text>After this step, wait for 5 seconds to check all doors are closed back again automatically.</text>
  </threadedComment>
  <threadedComment ref="C11" dT="2023-06-15T06:27:26.47" personId="{3FB28020-20E4-436D-9880-F2DE8367E31B}" id="{210289F9-7506-487C-A703-FA457F353A09}" parentId="{690CD396-538C-46C9-928C-5D49D1B8A7C9}">
    <text>Added the step.</text>
  </threadedComment>
  <threadedComment ref="D11" dT="2023-06-02T11:45:58.84" personId="{7C15D8A3-28E1-41FE-87D6-AFFF9BF30C2C}" id="{3896FB4C-B22B-4C9F-9706-66E0921BE996}" done="1">
    <text>After this step, wait for 5 seconds to check all doors are closed back again automatically.</text>
  </threadedComment>
  <threadedComment ref="D11" dT="2023-06-15T06:27:26.47" personId="{3FB28020-20E4-436D-9880-F2DE8367E31B}" id="{17FCC759-56A8-4746-B574-7E62C9A3DE7E}" parentId="{3896FB4C-B22B-4C9F-9706-66E0921BE996}">
    <text>Added the step.</text>
  </threadedComment>
  <threadedComment ref="C23" dT="2023-06-02T09:34:33.04" personId="{7C15D8A3-28E1-41FE-87D6-AFFF9BF30C2C}" id="{79744C22-EE43-4B95-B94A-6BBE430B199E}" done="1">
    <text>Split the steps for Left and RIGHT doors.</text>
  </threadedComment>
  <threadedComment ref="C23" dT="2023-06-15T06:39:23.69" personId="{3FB28020-20E4-436D-9880-F2DE8367E31B}" id="{3C6E3DD3-2683-4DA5-9AA1-6756E18FE3B2}" parentId="{79744C22-EE43-4B95-B94A-6BBE430B199E}">
    <text>Done</text>
  </threadedComment>
  <threadedComment ref="D23" dT="2023-06-02T09:34:33.04" personId="{7C15D8A3-28E1-41FE-87D6-AFFF9BF30C2C}" id="{E0BE05A7-9C8C-4200-A0CA-697FB4062693}" done="1">
    <text>Split the steps for Left and RIGHT doors.</text>
  </threadedComment>
  <threadedComment ref="D23" dT="2023-06-15T06:39:23.69" personId="{3FB28020-20E4-436D-9880-F2DE8367E31B}" id="{9C36E3D8-82E6-4845-9568-6B86B32553BC}" parentId="{E0BE05A7-9C8C-4200-A0CA-697FB4062693}">
    <text>Done</text>
  </threadedComment>
  <threadedComment ref="C33" dT="2023-06-02T09:33:59.86" personId="{7C15D8A3-28E1-41FE-87D6-AFFF9BF30C2C}" id="{974B24EE-B30D-46C9-A8E3-DA67969FAED1}" done="1">
    <text>Once doors are closed the selected side shall also be lost, it is not necessary to press again the side select pushbutton to unselect the doors.</text>
  </threadedComment>
  <threadedComment ref="C33" dT="2023-06-15T06:51:09.41" personId="{3FB28020-20E4-436D-9880-F2DE8367E31B}" id="{27C9AD92-0EA3-4A49-8073-FA949BA466E0}" parentId="{974B24EE-B30D-46C9-A8E3-DA67969FAED1}">
    <text>Updated this step.</text>
  </threadedComment>
  <threadedComment ref="D33" dT="2023-06-02T09:33:59.86" personId="{7C15D8A3-28E1-41FE-87D6-AFFF9BF30C2C}" id="{CB8A25B1-6B7E-45A6-B79D-1AD92A1DBE32}" done="1">
    <text>Once doors are closed the selected side shall also be lost, it is not necessary to press again the side select pushbutton to unselect the doors.</text>
  </threadedComment>
  <threadedComment ref="D33" dT="2023-06-15T06:51:09.41" personId="{3FB28020-20E4-436D-9880-F2DE8367E31B}" id="{3CF71441-85FB-492B-9024-31EC8B7C8BEA}" parentId="{CB8A25B1-6B7E-45A6-B79D-1AD92A1DBE32}">
    <text>Updated this step.</text>
  </threadedComment>
  <threadedComment ref="C57" dT="2023-06-02T09:48:00.21" personId="{7C15D8A3-28E1-41FE-87D6-AFFF9BF30C2C}" id="{D2B8AFCD-0438-4D55-95E9-53025B27EE6D}" done="1">
    <text>Delay time for closing is a door parameter, maybe is better to include as a parameter, CLOSE_DELAY _TIME and to include in a list of parameters in the cover sheet.</text>
  </threadedComment>
  <threadedComment ref="C57" dT="2023-06-15T07:04:10.57" personId="{3FB28020-20E4-436D-9880-F2DE8367E31B}" id="{9DD9CA44-1A3B-4113-A21A-4165BD490751}" parentId="{D2B8AFCD-0438-4D55-95E9-53025B27EE6D}">
    <text>Done.</text>
  </threadedComment>
  <threadedComment ref="D57" dT="2023-06-02T09:48:00.21" personId="{7C15D8A3-28E1-41FE-87D6-AFFF9BF30C2C}" id="{507DA476-5CDD-42FD-84A7-A25162C8DCF3}" done="1">
    <text>Delay time for closing is a door parameter, maybe is better to include as a parameter, CLOSE_DELAY _TIME and to include in a list of parameters in the cover sheet.</text>
  </threadedComment>
  <threadedComment ref="D57" dT="2023-06-15T07:04:10.57" personId="{3FB28020-20E4-436D-9880-F2DE8367E31B}" id="{B0F85577-C99B-4298-822D-81FA423285A9}" parentId="{507DA476-5CDD-42FD-84A7-A25162C8DCF3}">
    <text>Done.</text>
  </threadedComment>
  <threadedComment ref="C65" dT="2023-06-02T09:48:00.21" personId="{7C15D8A3-28E1-41FE-87D6-AFFF9BF30C2C}" id="{7802F561-642D-4805-9CD4-DE172D9B9E28}" done="1">
    <text>Delay time for closing is a door parameter, maybe is better to include as a parameter, CLOSE_DELAY _TIME and to include in a list of parameters in the cover sheet.</text>
  </threadedComment>
  <threadedComment ref="C65" dT="2023-06-15T07:04:10.57" personId="{3FB28020-20E4-436D-9880-F2DE8367E31B}" id="{5E1899A8-76FB-494E-A4C6-B7DEBD9BAE8E}" parentId="{7802F561-642D-4805-9CD4-DE172D9B9E28}">
    <text>Done.</text>
  </threadedComment>
  <threadedComment ref="D65" dT="2023-06-02T09:48:00.21" personId="{7C15D8A3-28E1-41FE-87D6-AFFF9BF30C2C}" id="{F574C29D-85E5-4134-9F39-1B0FC2F010ED}" done="1">
    <text>Delay time for closing is a door parameter, maybe is better to include as a parameter, CLOSE_DELAY _TIME and to include in a list of parameters in the cover sheet.</text>
  </threadedComment>
  <threadedComment ref="D65" dT="2023-06-15T07:04:10.57" personId="{3FB28020-20E4-436D-9880-F2DE8367E31B}" id="{D66B81AB-6A51-4471-A3CD-C90F6E90F2ED}" parentId="{F574C29D-85E5-4134-9F39-1B0FC2F010ED}">
    <text>Done.</text>
  </threadedComment>
  <threadedComment ref="C75" dT="2023-06-02T09:48:00.21" personId="{7C15D8A3-28E1-41FE-87D6-AFFF9BF30C2C}" id="{110A5B1F-A776-40C3-A77E-A2612CE83978}" done="1">
    <text>Delay time for closing is a door parameter, maybe is better to include as a parameter, CLOSE_DELAY _TIME and to include in a list of parameters in the cover sheet.</text>
  </threadedComment>
  <threadedComment ref="C75" dT="2023-06-15T07:04:10.57" personId="{3FB28020-20E4-436D-9880-F2DE8367E31B}" id="{1A8E0F45-A990-4170-9623-66011F04DAE4}" parentId="{110A5B1F-A776-40C3-A77E-A2612CE83978}">
    <text>Done.</text>
  </threadedComment>
  <threadedComment ref="D75" dT="2023-06-02T09:48:00.21" personId="{7C15D8A3-28E1-41FE-87D6-AFFF9BF30C2C}" id="{1CFA9210-A46F-47D5-BE95-D90C8FC5EBAA}" done="1">
    <text>Delay time for closing is a door parameter, maybe is better to include as a parameter, CLOSE_DELAY _TIME and to include in a list of parameters in the cover sheet.</text>
  </threadedComment>
  <threadedComment ref="D75" dT="2023-06-15T07:04:10.57" personId="{3FB28020-20E4-436D-9880-F2DE8367E31B}" id="{DD89166F-0429-4E4C-B2B1-5AEF879E315B}" parentId="{1CFA9210-A46F-47D5-BE95-D90C8FC5EBAA}">
    <text>Done.</text>
  </threadedComment>
  <threadedComment ref="C83" dT="2023-06-02T09:48:00.21" personId="{7C15D8A3-28E1-41FE-87D6-AFFF9BF30C2C}" id="{9774C6F9-28C1-4DB5-8501-A9FFBAA0234F}" done="1">
    <text>Delay time for closing is a door parameter, maybe is better to include as a parameter, CLOSE_DELAY _TIME and to include in a list of parameters in the cover sheet.</text>
  </threadedComment>
  <threadedComment ref="C83" dT="2023-06-15T07:04:10.57" personId="{3FB28020-20E4-436D-9880-F2DE8367E31B}" id="{2CA5A241-B445-42FA-B320-2AB7F08C8237}" parentId="{9774C6F9-28C1-4DB5-8501-A9FFBAA0234F}">
    <text>Done.</text>
  </threadedComment>
  <threadedComment ref="D83" dT="2023-06-02T09:48:00.21" personId="{7C15D8A3-28E1-41FE-87D6-AFFF9BF30C2C}" id="{D919A300-1177-4F6E-9690-BC0E7AAFA2B3}" done="1">
    <text>Delay time for closing is a door parameter, maybe is better to include as a parameter, CLOSE_DELAY _TIME and to include in a list of parameters in the cover sheet.</text>
  </threadedComment>
  <threadedComment ref="D83" dT="2023-06-15T07:04:10.57" personId="{3FB28020-20E4-436D-9880-F2DE8367E31B}" id="{64D3F8F1-D4FA-47E7-804D-9525DE3E89C0}" parentId="{D919A300-1177-4F6E-9690-BC0E7AAFA2B3}">
    <text>Done.</text>
  </threadedComment>
  <threadedComment ref="C122" dT="2023-06-02T10:46:49.18" personId="{7C15D8A3-28E1-41FE-87D6-AFFF9BF30C2C}" id="{408EF3DD-B315-4125-B8E9-56563605871D}" done="1">
    <text>Necessary to check at least once that all the doors are correct wired in the loop. Thus this step shall be repeated for all the doors. The one to check the bypass can be done just one time.</text>
  </threadedComment>
  <threadedComment ref="C122" dT="2023-06-15T10:23:43.35" personId="{3FB28020-20E4-436D-9880-F2DE8367E31B}" id="{355F96C8-BEC7-4AD7-9A1C-EEAB86BE4A4D}" parentId="{408EF3DD-B315-4125-B8E9-56563605871D}">
    <text>Elaborated the steps for all doors after checking the bypass.</text>
  </threadedComment>
  <threadedComment ref="D122" dT="2023-06-02T10:46:49.18" personId="{7C15D8A3-28E1-41FE-87D6-AFFF9BF30C2C}" id="{ADF557F8-9560-4609-8F66-8D355B03B9A1}" done="1">
    <text>Necessary to check at least once that all the doors are correct wired in the loop. Thus this step shall be repeated for all the doors. The one to check the bypass can be done just one time.</text>
  </threadedComment>
  <threadedComment ref="D122" dT="2023-06-15T10:23:43.35" personId="{3FB28020-20E4-436D-9880-F2DE8367E31B}" id="{4F7E036C-80AC-4460-9AF4-C28552C67108}" parentId="{ADF557F8-9560-4609-8F66-8D355B03B9A1}">
    <text>Elaborated the steps for all doors after checking the bypass.</text>
  </threadedComment>
  <threadedComment ref="C169" dT="2023-06-02T09:48:00.21" personId="{7C15D8A3-28E1-41FE-87D6-AFFF9BF30C2C}" id="{D267A3E6-A22C-40BF-A064-2839BA0B77A4}" done="1">
    <text>Delay time for closing is a door parameter, maybe is better to include as a parameter, CLOSE_DELAY _TIME and to include in a list of parameters in the cover sheet.</text>
  </threadedComment>
  <threadedComment ref="D169" dT="2023-06-02T09:48:00.21" personId="{7C15D8A3-28E1-41FE-87D6-AFFF9BF30C2C}" id="{8E837738-5DFF-4C1B-AC9A-6CC9A7D8D8E4}" done="1">
    <text>Delay time for closing is a door parameter, maybe is better to include as a parameter, CLOSE_DELAY _TIME and to include in a list of parameters in the cover sheet.</text>
  </threadedComment>
  <threadedComment ref="E173" dT="2023-06-02T10:39:55.43" personId="{7C15D8A3-28E1-41FE-87D6-AFFF9BF30C2C}" id="{E0EFACE6-7E68-40B4-AACA-E98953CC6ADA}">
    <text>Stop request will be indicated if the Stop request is pressed before than releasing the doors. Same applies to the message in the interior displays.</text>
  </threadedComment>
  <threadedComment ref="F173" dT="2023-06-02T10:39:55.43" personId="{7C15D8A3-28E1-41FE-87D6-AFFF9BF30C2C}" id="{5B6CE38B-FD06-4835-8CC8-FCCE87F04935}">
    <text>Stop request will be indicated if the Stop request is pressed before than releasing the doors. Same applies to the message in the interior displays.</text>
  </threadedComment>
  <threadedComment ref="C179" dT="2023-06-02T09:48:00.21" personId="{7C15D8A3-28E1-41FE-87D6-AFFF9BF30C2C}" id="{A6E60E48-2B8E-4D8C-8D44-08D663E683BB}" done="1">
    <text>Delay time for closing is a door parameter, maybe is better to include as a parameter, CLOSE_DELAY _TIME and to include in a list of parameters in the cover sheet.</text>
  </threadedComment>
  <threadedComment ref="D179" dT="2023-06-02T09:48:00.21" personId="{7C15D8A3-28E1-41FE-87D6-AFFF9BF30C2C}" id="{209A2AA5-6D96-4F8B-A0CA-9DED5B02A18B}" done="1">
    <text>Delay time for closing is a door parameter, maybe is better to include as a parameter, CLOSE_DELAY _TIME and to include in a list of parameters in the cover sheet.</text>
  </threadedComment>
  <threadedComment ref="C186" dT="2023-06-02T09:48:00.21" personId="{7C15D8A3-28E1-41FE-87D6-AFFF9BF30C2C}" id="{CB1C4A04-4130-44A8-A57B-A3E4A9BFAD3E}" done="1">
    <text>Delay time for closing is a door parameter, maybe is better to include as a parameter, CLOSE_DELAY _TIME and to include in a list of parameters in the cover sheet.</text>
  </threadedComment>
  <threadedComment ref="D186" dT="2023-06-02T09:48:00.21" personId="{7C15D8A3-28E1-41FE-87D6-AFFF9BF30C2C}" id="{6822DD49-165E-4924-AE03-DF3AEF8449A6}" done="1">
    <text>Delay time for closing is a door parameter, maybe is better to include as a parameter, CLOSE_DELAY _TIME and to include in a list of parameters in the cover sheet.</text>
  </threadedComment>
  <threadedComment ref="E190" dT="2023-06-02T10:39:55.43" personId="{7C15D8A3-28E1-41FE-87D6-AFFF9BF30C2C}" id="{693DD1DE-7A21-42B0-BC1A-4BA27DA94A6F}">
    <text>Stop request will be indicated if the Stop request is pressed before than releasing the doors. Same applies to the message in the interior displays.</text>
  </threadedComment>
  <threadedComment ref="F190" dT="2023-06-02T10:39:55.43" personId="{7C15D8A3-28E1-41FE-87D6-AFFF9BF30C2C}" id="{77440B48-138D-41C8-89E0-786D52F3DABD}">
    <text>Stop request will be indicated if the Stop request is pressed before than releasing the doors. Same applies to the message in the interior displays.</text>
  </threadedComment>
  <threadedComment ref="C196" dT="2023-06-02T09:48:00.21" personId="{7C15D8A3-28E1-41FE-87D6-AFFF9BF30C2C}" id="{0CB9E7E2-118D-4781-AAF5-72D9A09A5DF8}" done="1">
    <text>Delay time for closing is a door parameter, maybe is better to include as a parameter, CLOSE_DELAY _TIME and to include in a list of parameters in the cover sheet.</text>
  </threadedComment>
  <threadedComment ref="D196" dT="2023-06-02T09:48:00.21" personId="{7C15D8A3-28E1-41FE-87D6-AFFF9BF30C2C}" id="{B6F89704-8CA3-42DE-A333-C4721E376286}" done="1">
    <text>Delay time for closing is a door parameter, maybe is better to include as a parameter, CLOSE_DELAY _TIME and to include in a list of parameters in the cover sheet.</text>
  </threadedComment>
  <threadedComment ref="C199" dT="2023-06-02T11:54:50.32" personId="{7C15D8A3-28E1-41FE-87D6-AFFF9BF30C2C}" id="{470A16D6-1BE0-416A-BBEA-72E141AF0459}" done="1">
    <text>Repeat the steps for all PMR pushbuttons in the vehicle.</text>
  </threadedComment>
  <threadedComment ref="C199" dT="2023-06-15T10:50:09.50" personId="{3FB28020-20E4-436D-9880-F2DE8367E31B}" id="{97B536A4-C470-4100-AFB1-C7A329F8464A}" parentId="{470A16D6-1BE0-416A-BBEA-72E141AF0459}">
    <text>There is only one PMR pushbutton per Car. It has been advised to repeat the test from both C1 &amp; C2</text>
  </threadedComment>
  <threadedComment ref="D199" dT="2023-06-02T11:54:50.32" personId="{7C15D8A3-28E1-41FE-87D6-AFFF9BF30C2C}" id="{268422F0-321A-44A2-9EB6-79042DDD3F2C}" done="1">
    <text>Repeat the steps for all PMR pushbuttons in the vehicle.</text>
  </threadedComment>
  <threadedComment ref="D199" dT="2023-06-15T10:50:09.50" personId="{3FB28020-20E4-436D-9880-F2DE8367E31B}" id="{BC878F8C-17AE-4AC5-989A-85745003035C}" parentId="{268422F0-321A-44A2-9EB6-79042DDD3F2C}">
    <text>There is only one PMR pushbutton per Car. It has been advised to repeat the test from both C1 &amp; C2</tex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printerSettings" Target="../printerSettings/printerSettings3.bin"/><Relationship Id="rId7"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2.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autoPageBreaks="0"/>
  </sheetPr>
  <dimension ref="B2:G22"/>
  <sheetViews>
    <sheetView zoomScaleNormal="70" workbookViewId="0">
      <selection activeCell="C8" sqref="C8"/>
    </sheetView>
  </sheetViews>
  <sheetFormatPr defaultColWidth="11.42578125" defaultRowHeight="12.75"/>
  <cols>
    <col min="2" max="2" width="15.5703125" customWidth="1"/>
    <col min="3" max="3" width="47.28515625" customWidth="1"/>
    <col min="4" max="4" width="44.28515625" customWidth="1"/>
    <col min="6" max="6" width="14.7109375" customWidth="1"/>
  </cols>
  <sheetData>
    <row r="2" spans="2:7" ht="15.75">
      <c r="B2" s="18" t="s">
        <v>0</v>
      </c>
      <c r="C2" s="44" t="s">
        <v>1</v>
      </c>
    </row>
    <row r="3" spans="2:7" ht="15.75">
      <c r="B3" s="18" t="s">
        <v>2</v>
      </c>
      <c r="C3" s="44" t="s">
        <v>3</v>
      </c>
    </row>
    <row r="8" spans="2:7">
      <c r="B8" s="14" t="s">
        <v>4</v>
      </c>
      <c r="C8" t="s">
        <v>5</v>
      </c>
      <c r="D8" s="43" t="str">
        <f>VLOOKUP(C8,B17:G23,2,)</f>
        <v>Boarding System Functional Type test</v>
      </c>
      <c r="E8" s="13" t="s">
        <v>6</v>
      </c>
      <c r="F8" s="43" t="str">
        <f>VLOOKUP(C8,B17:G23,4,)</f>
        <v>T</v>
      </c>
    </row>
    <row r="9" spans="2:7">
      <c r="B9" s="14" t="s">
        <v>7</v>
      </c>
      <c r="C9" t="s">
        <v>8</v>
      </c>
      <c r="E9" s="13" t="s">
        <v>9</v>
      </c>
      <c r="F9" s="43" t="str">
        <f>VLOOKUP(C8,B17:G23,5,)</f>
        <v>Interno</v>
      </c>
    </row>
    <row r="10" spans="2:7">
      <c r="E10" t="s">
        <v>10</v>
      </c>
      <c r="F10" s="43" t="str">
        <f>VLOOKUP(C8,B17:G23,6,)</f>
        <v>-</v>
      </c>
    </row>
    <row r="16" spans="2:7" ht="15.75">
      <c r="B16" s="18" t="s">
        <v>11</v>
      </c>
      <c r="C16" s="18" t="s">
        <v>12</v>
      </c>
      <c r="D16" s="18" t="s">
        <v>13</v>
      </c>
      <c r="E16" s="19" t="s">
        <v>14</v>
      </c>
      <c r="F16" s="18" t="s">
        <v>15</v>
      </c>
      <c r="G16" s="18" t="s">
        <v>16</v>
      </c>
    </row>
    <row r="17" spans="2:7" ht="15">
      <c r="B17" s="15" t="s">
        <v>17</v>
      </c>
      <c r="C17" s="15" t="s">
        <v>18</v>
      </c>
      <c r="D17" s="15" t="s">
        <v>19</v>
      </c>
      <c r="E17" s="17" t="s">
        <v>20</v>
      </c>
      <c r="F17" t="s">
        <v>21</v>
      </c>
      <c r="G17" s="13" t="s">
        <v>22</v>
      </c>
    </row>
    <row r="18" spans="2:7" ht="15">
      <c r="B18" s="15" t="s">
        <v>23</v>
      </c>
      <c r="C18" s="15" t="s">
        <v>24</v>
      </c>
      <c r="D18" s="15" t="s">
        <v>25</v>
      </c>
      <c r="E18" s="17" t="s">
        <v>20</v>
      </c>
      <c r="F18" t="s">
        <v>26</v>
      </c>
      <c r="G18" s="13" t="s">
        <v>22</v>
      </c>
    </row>
    <row r="19" spans="2:7" ht="15">
      <c r="B19" s="15" t="s">
        <v>27</v>
      </c>
      <c r="C19" s="15" t="s">
        <v>28</v>
      </c>
      <c r="D19" s="15" t="s">
        <v>29</v>
      </c>
      <c r="E19" s="20" t="s">
        <v>30</v>
      </c>
      <c r="F19" s="13" t="s">
        <v>31</v>
      </c>
      <c r="G19" s="21" t="s">
        <v>32</v>
      </c>
    </row>
    <row r="20" spans="2:7" ht="15">
      <c r="B20" s="16" t="s">
        <v>33</v>
      </c>
      <c r="C20" s="16" t="s">
        <v>34</v>
      </c>
      <c r="D20" s="16" t="s">
        <v>35</v>
      </c>
      <c r="E20" s="17" t="s">
        <v>36</v>
      </c>
      <c r="F20" t="s">
        <v>21</v>
      </c>
      <c r="G20" s="13" t="s">
        <v>22</v>
      </c>
    </row>
    <row r="21" spans="2:7" ht="15">
      <c r="B21" s="16" t="s">
        <v>37</v>
      </c>
      <c r="C21" s="16" t="s">
        <v>38</v>
      </c>
      <c r="D21" s="16" t="s">
        <v>39</v>
      </c>
      <c r="E21" s="17" t="s">
        <v>36</v>
      </c>
      <c r="F21" t="s">
        <v>26</v>
      </c>
      <c r="G21" s="13" t="s">
        <v>22</v>
      </c>
    </row>
    <row r="22" spans="2:7" ht="15">
      <c r="B22" s="16" t="s">
        <v>40</v>
      </c>
      <c r="C22" s="16" t="s">
        <v>28</v>
      </c>
      <c r="D22" s="16" t="s">
        <v>29</v>
      </c>
      <c r="E22" s="17" t="s">
        <v>36</v>
      </c>
      <c r="F22" s="13" t="s">
        <v>31</v>
      </c>
      <c r="G22" s="13" t="s">
        <v>22</v>
      </c>
    </row>
  </sheetData>
  <customSheetViews>
    <customSheetView guid="{875B12CB-D765-4B4E-B887-579DC68A406E}">
      <selection activeCell="B4" sqref="B4"/>
      <pageMargins left="0" right="0" top="0" bottom="0" header="0" footer="0"/>
    </customSheetView>
    <customSheetView guid="{679FD0CE-2012-48DA-8FD1-A9E8B9F8F1E8}">
      <selection activeCell="B4" sqref="B4"/>
      <pageMargins left="0" right="0" top="0" bottom="0" header="0" footer="0"/>
    </customSheetView>
    <customSheetView guid="{E42546AF-4D45-4F91-B7CA-C06252817378}">
      <selection activeCell="C6" sqref="C6"/>
      <pageMargins left="0" right="0" top="0" bottom="0" header="0" footer="0"/>
    </customSheetView>
  </customSheetViews>
  <dataValidations count="2">
    <dataValidation type="list" allowBlank="1" showInputMessage="1" showErrorMessage="1" sqref="C9" xr:uid="{00000000-0002-0000-0000-000000000000}">
      <formula1>"Ingles,Aleman"</formula1>
    </dataValidation>
    <dataValidation type="list" allowBlank="1" showInputMessage="1" showErrorMessage="1" sqref="C8" xr:uid="{00000000-0002-0000-0000-000001000000}">
      <formula1>$B$17:$B$24</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31" r:id="rId3" name="Button 7">
              <controlPr defaultSize="0" print="0" autoFill="0" autoPict="0" macro="[0]!FILTRAR">
                <anchor moveWithCells="1" sizeWithCells="1">
                  <from>
                    <xdr:col>8</xdr:col>
                    <xdr:colOff>95250</xdr:colOff>
                    <xdr:row>5</xdr:row>
                    <xdr:rowOff>38100</xdr:rowOff>
                  </from>
                  <to>
                    <xdr:col>9</xdr:col>
                    <xdr:colOff>361950</xdr:colOff>
                    <xdr:row>7</xdr:row>
                    <xdr:rowOff>57150</xdr:rowOff>
                  </to>
                </anchor>
              </controlPr>
            </control>
          </mc:Choice>
        </mc:AlternateContent>
        <mc:AlternateContent xmlns:mc="http://schemas.openxmlformats.org/markup-compatibility/2006">
          <mc:Choice Requires="x14">
            <control shapeId="1030" r:id="rId4" name="Group Box 6">
              <controlPr defaultSize="0" autoFill="0" autoPict="0" altText="ACCIONES/ACTIONS">
                <anchor moveWithCells="1">
                  <from>
                    <xdr:col>7</xdr:col>
                    <xdr:colOff>752475</xdr:colOff>
                    <xdr:row>4</xdr:row>
                    <xdr:rowOff>0</xdr:rowOff>
                  </from>
                  <to>
                    <xdr:col>11</xdr:col>
                    <xdr:colOff>514350</xdr:colOff>
                    <xdr:row>13</xdr:row>
                    <xdr:rowOff>104775</xdr:rowOff>
                  </to>
                </anchor>
              </controlPr>
            </control>
          </mc:Choice>
        </mc:AlternateContent>
        <mc:AlternateContent xmlns:mc="http://schemas.openxmlformats.org/markup-compatibility/2006">
          <mc:Choice Requires="x14">
            <control shapeId="1039" r:id="rId5" name="Button 15">
              <controlPr defaultSize="0" print="0" autoFill="0" autoPict="0" macro="[0]!ImprimirPDF">
                <anchor moveWithCells="1" sizeWithCells="1">
                  <from>
                    <xdr:col>8</xdr:col>
                    <xdr:colOff>104775</xdr:colOff>
                    <xdr:row>8</xdr:row>
                    <xdr:rowOff>19050</xdr:rowOff>
                  </from>
                  <to>
                    <xdr:col>9</xdr:col>
                    <xdr:colOff>342900</xdr:colOff>
                    <xdr:row>10</xdr:row>
                    <xdr:rowOff>38100</xdr:rowOff>
                  </to>
                </anchor>
              </controlPr>
            </control>
          </mc:Choice>
        </mc:AlternateContent>
        <mc:AlternateContent xmlns:mc="http://schemas.openxmlformats.org/markup-compatibility/2006">
          <mc:Choice Requires="x14">
            <control shapeId="1040" r:id="rId6" name="Button 16">
              <controlPr defaultSize="0" print="0" autoFill="0" autoPict="0" macro="[0]!Importar">
                <anchor moveWithCells="1" sizeWithCells="1">
                  <from>
                    <xdr:col>8</xdr:col>
                    <xdr:colOff>114300</xdr:colOff>
                    <xdr:row>10</xdr:row>
                    <xdr:rowOff>152400</xdr:rowOff>
                  </from>
                  <to>
                    <xdr:col>9</xdr:col>
                    <xdr:colOff>361950</xdr:colOff>
                    <xdr:row>12</xdr:row>
                    <xdr:rowOff>133350</xdr:rowOff>
                  </to>
                </anchor>
              </controlPr>
            </control>
          </mc:Choice>
        </mc:AlternateContent>
        <mc:AlternateContent xmlns:mc="http://schemas.openxmlformats.org/markup-compatibility/2006">
          <mc:Choice Requires="x14">
            <control shapeId="1046" r:id="rId7" name="Button 22">
              <controlPr defaultSize="0" print="0" autoFill="0" autoPict="0" macro="[0]!RESET_FILTER">
                <anchor moveWithCells="1" sizeWithCells="1">
                  <from>
                    <xdr:col>9</xdr:col>
                    <xdr:colOff>514350</xdr:colOff>
                    <xdr:row>5</xdr:row>
                    <xdr:rowOff>57150</xdr:rowOff>
                  </from>
                  <to>
                    <xdr:col>11</xdr:col>
                    <xdr:colOff>190500</xdr:colOff>
                    <xdr:row>7</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outlinePr summaryBelow="0"/>
    <pageSetUpPr autoPageBreaks="0" fitToPage="1"/>
  </sheetPr>
  <dimension ref="A1:R248"/>
  <sheetViews>
    <sheetView tabSelected="1" zoomScale="70" zoomScaleNormal="70" zoomScaleSheetLayoutView="55" workbookViewId="0">
      <pane ySplit="4" topLeftCell="A30" activePane="bottomLeft" state="frozen"/>
      <selection pane="bottomLeft" activeCell="E37" sqref="E37"/>
    </sheetView>
  </sheetViews>
  <sheetFormatPr defaultColWidth="11.42578125" defaultRowHeight="12.75" outlineLevelRow="1"/>
  <cols>
    <col min="1" max="1" width="6.5703125" style="68" customWidth="1"/>
    <col min="2" max="2" width="10" style="11" customWidth="1"/>
    <col min="3" max="3" width="65.7109375" style="61" customWidth="1"/>
    <col min="4" max="4" width="51.85546875" style="61" hidden="1" customWidth="1"/>
    <col min="5" max="5" width="65.7109375" style="69" customWidth="1"/>
    <col min="6" max="6" width="48" style="69" hidden="1" customWidth="1"/>
    <col min="7" max="7" width="26" style="6" customWidth="1"/>
    <col min="8" max="9" width="8" style="61" customWidth="1"/>
    <col min="10" max="10" width="12.7109375" style="6" customWidth="1"/>
    <col min="11" max="11" width="38.7109375" style="70" customWidth="1"/>
    <col min="12" max="12" width="6.5703125" style="61" customWidth="1"/>
    <col min="13" max="13" width="10.28515625" style="61" customWidth="1"/>
    <col min="14" max="14" width="9.5703125" style="61" customWidth="1"/>
    <col min="15" max="15" width="9.7109375" style="11" customWidth="1"/>
    <col min="16" max="16" width="12.5703125" style="61" customWidth="1"/>
    <col min="17" max="16384" width="11.42578125" style="61"/>
  </cols>
  <sheetData>
    <row r="1" spans="1:15" s="4" customFormat="1" ht="27.75" customHeight="1">
      <c r="A1" s="26"/>
      <c r="B1" s="27"/>
      <c r="C1" s="101" t="s">
        <v>41</v>
      </c>
      <c r="D1" s="102"/>
      <c r="E1" s="99" t="s">
        <v>42</v>
      </c>
      <c r="F1" s="100"/>
      <c r="G1" s="28"/>
      <c r="H1" s="29"/>
      <c r="I1" s="29"/>
      <c r="J1" s="30" t="s">
        <v>43</v>
      </c>
      <c r="K1" s="31" t="str">
        <f>VLOOKUP(Auswahl!C8,Auswahl!B17:H24,6,FALSE)</f>
        <v>-</v>
      </c>
      <c r="L1" s="1"/>
      <c r="M1" s="1"/>
      <c r="N1" s="1"/>
      <c r="O1" s="3"/>
    </row>
    <row r="2" spans="1:15" s="4" customFormat="1" ht="27" customHeight="1" thickBot="1">
      <c r="A2" s="32"/>
      <c r="B2" s="33"/>
      <c r="C2" s="103"/>
      <c r="D2" s="104"/>
      <c r="E2" s="34" t="str">
        <f>VLOOKUP(Auswahl!$C$8,Auswahl!B17:G24,2)</f>
        <v>Boarding System Functional Type test</v>
      </c>
      <c r="F2" s="35" t="str">
        <f>VLOOKUP(Auswahl!$C$8,Auswahl!B17:G24,3)</f>
        <v>Einsteigesystem Funktionstest Typprüfung</v>
      </c>
      <c r="G2" s="36"/>
      <c r="H2" s="37"/>
      <c r="I2" s="37"/>
      <c r="J2" s="38" t="s">
        <v>44</v>
      </c>
      <c r="K2" s="39" t="str">
        <f>Auswahl!C8</f>
        <v>D0000006246</v>
      </c>
      <c r="L2" s="1"/>
      <c r="M2" s="1"/>
      <c r="N2" s="1"/>
      <c r="O2" s="3"/>
    </row>
    <row r="3" spans="1:15" s="4" customFormat="1">
      <c r="A3" s="22"/>
      <c r="B3" s="3"/>
      <c r="C3" s="1"/>
      <c r="D3" s="1"/>
      <c r="E3" s="1"/>
      <c r="F3" s="1"/>
      <c r="G3" s="5"/>
      <c r="H3" s="1"/>
      <c r="I3" s="1"/>
      <c r="J3" s="5"/>
      <c r="K3" s="24"/>
      <c r="L3" s="1"/>
      <c r="M3" s="1"/>
      <c r="N3" s="1"/>
      <c r="O3" s="3"/>
    </row>
    <row r="4" spans="1:15" s="2" customFormat="1" ht="51" customHeight="1">
      <c r="A4" s="23" t="s">
        <v>45</v>
      </c>
      <c r="B4" s="8" t="s">
        <v>46</v>
      </c>
      <c r="C4" s="7" t="s">
        <v>47</v>
      </c>
      <c r="D4" s="7" t="s">
        <v>48</v>
      </c>
      <c r="E4" s="7" t="s">
        <v>49</v>
      </c>
      <c r="F4" s="7" t="s">
        <v>50</v>
      </c>
      <c r="G4" s="7" t="s">
        <v>51</v>
      </c>
      <c r="H4" s="9" t="s">
        <v>52</v>
      </c>
      <c r="I4" s="9" t="s">
        <v>53</v>
      </c>
      <c r="J4" s="7" t="s">
        <v>54</v>
      </c>
      <c r="K4" s="25" t="s">
        <v>55</v>
      </c>
      <c r="L4" s="40" t="s">
        <v>56</v>
      </c>
      <c r="M4" s="41" t="s">
        <v>57</v>
      </c>
      <c r="N4" s="41" t="s">
        <v>58</v>
      </c>
      <c r="O4" s="42" t="s">
        <v>59</v>
      </c>
    </row>
    <row r="5" spans="1:15" s="58" customFormat="1" ht="15.75">
      <c r="A5" s="51">
        <v>1</v>
      </c>
      <c r="B5" s="52" t="s">
        <v>60</v>
      </c>
      <c r="C5" s="56" t="s">
        <v>61</v>
      </c>
      <c r="D5" s="56" t="s">
        <v>62</v>
      </c>
      <c r="E5" s="56" t="s">
        <v>63</v>
      </c>
      <c r="F5" s="56" t="s">
        <v>63</v>
      </c>
      <c r="G5" s="56"/>
      <c r="H5" s="56"/>
      <c r="I5" s="56"/>
      <c r="J5" s="56"/>
      <c r="K5" s="56"/>
      <c r="L5" s="57" t="s">
        <v>64</v>
      </c>
      <c r="M5" s="57" t="s">
        <v>65</v>
      </c>
      <c r="N5" s="57"/>
      <c r="O5" s="12" t="s">
        <v>66</v>
      </c>
    </row>
    <row r="6" spans="1:15" s="63" customFormat="1" ht="114">
      <c r="A6" s="45">
        <v>1</v>
      </c>
      <c r="B6" s="45" t="s">
        <v>67</v>
      </c>
      <c r="C6" s="50" t="s">
        <v>68</v>
      </c>
      <c r="D6" s="50" t="s">
        <v>69</v>
      </c>
      <c r="E6" s="50"/>
      <c r="F6" s="50"/>
      <c r="G6" s="45"/>
      <c r="H6" s="45"/>
      <c r="I6" s="45"/>
      <c r="J6" s="45" t="s">
        <v>70</v>
      </c>
      <c r="K6" s="62" t="s">
        <v>71</v>
      </c>
      <c r="L6" s="57" t="s">
        <v>64</v>
      </c>
      <c r="M6" s="57" t="s">
        <v>65</v>
      </c>
      <c r="N6" s="60"/>
      <c r="O6" s="10" t="s">
        <v>72</v>
      </c>
    </row>
    <row r="7" spans="1:15" s="63" customFormat="1" ht="104.25" customHeight="1" outlineLevel="1">
      <c r="A7" s="46">
        <v>1</v>
      </c>
      <c r="B7" s="46" t="str">
        <f>SUBSTITUTE(CONCATENATE((_xlfn.NUMBERVALUE(B6,".")+0.0001),IF(RIGHT(B6,2)="90","00","0")),",",".")</f>
        <v>1.01010</v>
      </c>
      <c r="C7" s="53" t="s">
        <v>73</v>
      </c>
      <c r="D7" s="53" t="s">
        <v>74</v>
      </c>
      <c r="E7" s="76" t="s">
        <v>75</v>
      </c>
      <c r="F7" s="76" t="s">
        <v>76</v>
      </c>
      <c r="G7" s="77" t="s">
        <v>77</v>
      </c>
      <c r="H7" s="46"/>
      <c r="I7" s="46"/>
      <c r="J7" s="46"/>
      <c r="K7" s="46"/>
      <c r="L7" s="67" t="s">
        <v>78</v>
      </c>
      <c r="M7" s="67" t="s">
        <v>79</v>
      </c>
      <c r="N7" s="60"/>
    </row>
    <row r="8" spans="1:15" s="63" customFormat="1" ht="42.75" outlineLevel="1">
      <c r="A8" s="48">
        <v>1</v>
      </c>
      <c r="B8" s="48" t="str">
        <f>SUBSTITUTE(CONCATENATE((_xlfn.NUMBERVALUE(B7,".")+0.0001),IF(RIGHT(B7,2)="90","00","0")),",",".")</f>
        <v>1.01020</v>
      </c>
      <c r="C8" s="55" t="s">
        <v>80</v>
      </c>
      <c r="D8" s="55" t="s">
        <v>81</v>
      </c>
      <c r="E8" s="54" t="s">
        <v>82</v>
      </c>
      <c r="F8" s="54" t="s">
        <v>83</v>
      </c>
      <c r="G8" s="48"/>
      <c r="H8" s="48"/>
      <c r="I8" s="48"/>
      <c r="J8" s="48"/>
      <c r="K8" s="48"/>
      <c r="L8" s="67" t="s">
        <v>78</v>
      </c>
      <c r="M8" s="67" t="s">
        <v>79</v>
      </c>
      <c r="N8" s="60"/>
    </row>
    <row r="9" spans="1:15" s="63" customFormat="1" ht="42.75" outlineLevel="1">
      <c r="A9" s="48">
        <v>1</v>
      </c>
      <c r="B9" s="48" t="str">
        <f t="shared" ref="B9:B33" si="0">SUBSTITUTE(CONCATENATE((_xlfn.NUMBERVALUE(B8,".")+0.0001),IF(RIGHT(B8,2)="90","00","0")),",",".")</f>
        <v>1.01030</v>
      </c>
      <c r="C9" s="55" t="s">
        <v>84</v>
      </c>
      <c r="D9" s="55" t="s">
        <v>85</v>
      </c>
      <c r="E9" s="54" t="s">
        <v>86</v>
      </c>
      <c r="F9" s="54" t="s">
        <v>87</v>
      </c>
      <c r="G9" s="48"/>
      <c r="H9" s="48"/>
      <c r="I9" s="48"/>
      <c r="J9" s="48"/>
      <c r="K9" s="48"/>
      <c r="L9" s="67" t="s">
        <v>78</v>
      </c>
      <c r="M9" s="67" t="s">
        <v>79</v>
      </c>
      <c r="N9" s="60"/>
    </row>
    <row r="10" spans="1:15" s="63" customFormat="1" ht="42.75" outlineLevel="1">
      <c r="A10" s="48">
        <v>1</v>
      </c>
      <c r="B10" s="48" t="str">
        <f t="shared" si="0"/>
        <v>1.01040</v>
      </c>
      <c r="C10" s="55" t="s">
        <v>88</v>
      </c>
      <c r="D10" s="55" t="s">
        <v>89</v>
      </c>
      <c r="E10" s="54" t="s">
        <v>90</v>
      </c>
      <c r="F10" s="54" t="s">
        <v>91</v>
      </c>
      <c r="G10" s="48"/>
      <c r="H10" s="48"/>
      <c r="I10" s="48"/>
      <c r="J10" s="48"/>
      <c r="K10" s="48"/>
      <c r="L10" s="67" t="s">
        <v>78</v>
      </c>
      <c r="M10" s="67" t="s">
        <v>79</v>
      </c>
      <c r="N10" s="60"/>
    </row>
    <row r="11" spans="1:15" s="63" customFormat="1" ht="57" outlineLevel="1">
      <c r="A11" s="48">
        <v>1</v>
      </c>
      <c r="B11" s="48" t="str">
        <f t="shared" si="0"/>
        <v>1.01050</v>
      </c>
      <c r="C11" s="55" t="s">
        <v>92</v>
      </c>
      <c r="D11" s="55" t="s">
        <v>93</v>
      </c>
      <c r="E11" s="54" t="s">
        <v>94</v>
      </c>
      <c r="F11" s="54" t="s">
        <v>95</v>
      </c>
      <c r="G11" s="48"/>
      <c r="H11" s="48"/>
      <c r="I11" s="48"/>
      <c r="J11" s="48"/>
      <c r="K11" s="48"/>
      <c r="L11" s="67" t="s">
        <v>78</v>
      </c>
      <c r="M11" s="67" t="s">
        <v>79</v>
      </c>
      <c r="N11" s="60"/>
    </row>
    <row r="12" spans="1:15" s="63" customFormat="1" ht="26.25" customHeight="1" outlineLevel="1">
      <c r="A12" s="48">
        <v>1</v>
      </c>
      <c r="B12" s="48" t="str">
        <f t="shared" si="0"/>
        <v>1.01060</v>
      </c>
      <c r="C12" s="55" t="s">
        <v>96</v>
      </c>
      <c r="D12" s="55" t="s">
        <v>97</v>
      </c>
      <c r="E12" s="54" t="s">
        <v>98</v>
      </c>
      <c r="F12" s="54" t="s">
        <v>99</v>
      </c>
      <c r="G12" s="48"/>
      <c r="H12" s="48"/>
      <c r="I12" s="48"/>
      <c r="J12" s="48"/>
      <c r="K12" s="48"/>
      <c r="L12" s="67" t="s">
        <v>78</v>
      </c>
      <c r="M12" s="67" t="s">
        <v>79</v>
      </c>
      <c r="N12" s="60"/>
    </row>
    <row r="13" spans="1:15" s="63" customFormat="1" ht="28.5" customHeight="1" outlineLevel="1">
      <c r="A13" s="89">
        <v>1</v>
      </c>
      <c r="B13" s="89" t="str">
        <f>SUBSTITUTE(CONCATENATE((_xlfn.NUMBERVALUE(B12,".")+0.0001),IF(RIGHT(B12,2)="90","00","0")),",",".")</f>
        <v>1.01070</v>
      </c>
      <c r="C13" s="92" t="s">
        <v>100</v>
      </c>
      <c r="D13" s="92" t="s">
        <v>101</v>
      </c>
      <c r="E13" s="54" t="s">
        <v>102</v>
      </c>
      <c r="F13" s="54" t="s">
        <v>103</v>
      </c>
      <c r="G13" s="48"/>
      <c r="H13" s="48"/>
      <c r="I13" s="48"/>
      <c r="J13" s="48"/>
      <c r="K13" s="48"/>
      <c r="L13" s="67" t="s">
        <v>78</v>
      </c>
      <c r="M13" s="67" t="s">
        <v>79</v>
      </c>
      <c r="N13" s="60"/>
    </row>
    <row r="14" spans="1:15" s="63" customFormat="1" ht="20.25" customHeight="1" outlineLevel="1">
      <c r="A14" s="91"/>
      <c r="B14" s="91"/>
      <c r="C14" s="93"/>
      <c r="D14" s="93"/>
      <c r="E14" s="54" t="s">
        <v>104</v>
      </c>
      <c r="F14" s="54" t="s">
        <v>105</v>
      </c>
      <c r="G14" s="48"/>
      <c r="H14" s="48"/>
      <c r="I14" s="48"/>
      <c r="J14" s="48"/>
      <c r="K14" s="48"/>
      <c r="L14" s="67" t="s">
        <v>78</v>
      </c>
      <c r="M14" s="67" t="s">
        <v>79</v>
      </c>
      <c r="N14" s="60"/>
    </row>
    <row r="15" spans="1:15" s="63" customFormat="1" ht="42.75" outlineLevel="1">
      <c r="A15" s="90"/>
      <c r="B15" s="90"/>
      <c r="C15" s="98"/>
      <c r="D15" s="98"/>
      <c r="E15" s="54" t="s">
        <v>106</v>
      </c>
      <c r="F15" s="54" t="s">
        <v>107</v>
      </c>
      <c r="G15" s="48"/>
      <c r="H15" s="48"/>
      <c r="I15" s="48"/>
      <c r="J15" s="48"/>
      <c r="K15" s="48"/>
      <c r="L15" s="67" t="s">
        <v>78</v>
      </c>
      <c r="M15" s="67" t="s">
        <v>79</v>
      </c>
      <c r="N15" s="60"/>
    </row>
    <row r="16" spans="1:15" s="63" customFormat="1" ht="42.75" outlineLevel="1">
      <c r="A16" s="48">
        <v>1</v>
      </c>
      <c r="B16" s="48" t="str">
        <f>SUBSTITUTE(CONCATENATE((_xlfn.NUMBERVALUE(B13,".")+0.0001),IF(RIGHT(B13,2)="90","00","0")),",",".")</f>
        <v>1.01080</v>
      </c>
      <c r="C16" s="55" t="s">
        <v>108</v>
      </c>
      <c r="D16" s="55" t="s">
        <v>109</v>
      </c>
      <c r="E16" s="54" t="s">
        <v>110</v>
      </c>
      <c r="F16" s="54" t="s">
        <v>111</v>
      </c>
      <c r="G16" s="48"/>
      <c r="H16" s="48"/>
      <c r="I16" s="48"/>
      <c r="J16" s="48"/>
      <c r="K16" s="48"/>
      <c r="L16" s="67" t="s">
        <v>78</v>
      </c>
      <c r="M16" s="67" t="s">
        <v>79</v>
      </c>
      <c r="N16" s="60"/>
    </row>
    <row r="17" spans="1:14" s="63" customFormat="1" ht="42.75" outlineLevel="1">
      <c r="A17" s="48">
        <v>1</v>
      </c>
      <c r="B17" s="48" t="str">
        <f t="shared" si="0"/>
        <v>1.01090</v>
      </c>
      <c r="C17" s="55" t="s">
        <v>88</v>
      </c>
      <c r="D17" s="55" t="s">
        <v>89</v>
      </c>
      <c r="E17" s="54" t="s">
        <v>90</v>
      </c>
      <c r="F17" s="54" t="s">
        <v>91</v>
      </c>
      <c r="G17" s="48"/>
      <c r="H17" s="48"/>
      <c r="I17" s="48"/>
      <c r="J17" s="48"/>
      <c r="K17" s="48"/>
      <c r="L17" s="67" t="s">
        <v>78</v>
      </c>
      <c r="M17" s="67" t="s">
        <v>79</v>
      </c>
      <c r="N17" s="60"/>
    </row>
    <row r="18" spans="1:14" s="63" customFormat="1" ht="57" outlineLevel="1">
      <c r="A18" s="48">
        <v>1</v>
      </c>
      <c r="B18" s="48" t="str">
        <f t="shared" si="0"/>
        <v>1.01100</v>
      </c>
      <c r="C18" s="55" t="s">
        <v>92</v>
      </c>
      <c r="D18" s="55" t="s">
        <v>93</v>
      </c>
      <c r="E18" s="54" t="s">
        <v>112</v>
      </c>
      <c r="F18" s="54" t="s">
        <v>113</v>
      </c>
      <c r="G18" s="48"/>
      <c r="H18" s="48"/>
      <c r="I18" s="48"/>
      <c r="J18" s="48"/>
      <c r="K18" s="48"/>
      <c r="L18" s="67" t="s">
        <v>78</v>
      </c>
      <c r="M18" s="67" t="s">
        <v>79</v>
      </c>
      <c r="N18" s="60"/>
    </row>
    <row r="19" spans="1:14" s="63" customFormat="1" ht="22.5" customHeight="1" outlineLevel="1">
      <c r="A19" s="48">
        <v>1</v>
      </c>
      <c r="B19" s="48" t="str">
        <f t="shared" si="0"/>
        <v>1.01110</v>
      </c>
      <c r="C19" s="55" t="s">
        <v>96</v>
      </c>
      <c r="D19" s="55" t="s">
        <v>97</v>
      </c>
      <c r="E19" s="54" t="s">
        <v>98</v>
      </c>
      <c r="F19" s="54" t="s">
        <v>99</v>
      </c>
      <c r="G19" s="48"/>
      <c r="H19" s="48"/>
      <c r="I19" s="48"/>
      <c r="J19" s="48"/>
      <c r="K19" s="48"/>
      <c r="L19" s="67" t="s">
        <v>78</v>
      </c>
      <c r="M19" s="67" t="s">
        <v>79</v>
      </c>
      <c r="N19" s="60"/>
    </row>
    <row r="20" spans="1:14" s="63" customFormat="1" ht="19.5" customHeight="1" outlineLevel="1">
      <c r="A20" s="89">
        <v>1</v>
      </c>
      <c r="B20" s="89" t="str">
        <f t="shared" si="0"/>
        <v>1.01120</v>
      </c>
      <c r="C20" s="92" t="s">
        <v>100</v>
      </c>
      <c r="D20" s="92" t="s">
        <v>101</v>
      </c>
      <c r="E20" s="54" t="s">
        <v>102</v>
      </c>
      <c r="F20" s="54" t="s">
        <v>103</v>
      </c>
      <c r="G20" s="48"/>
      <c r="H20" s="48"/>
      <c r="I20" s="48"/>
      <c r="J20" s="48"/>
      <c r="K20" s="48"/>
      <c r="L20" s="67" t="s">
        <v>78</v>
      </c>
      <c r="M20" s="67" t="s">
        <v>79</v>
      </c>
      <c r="N20" s="60"/>
    </row>
    <row r="21" spans="1:14" s="63" customFormat="1" ht="21" customHeight="1" outlineLevel="1">
      <c r="A21" s="91"/>
      <c r="B21" s="91"/>
      <c r="C21" s="93"/>
      <c r="D21" s="93"/>
      <c r="E21" s="54" t="s">
        <v>104</v>
      </c>
      <c r="F21" s="54" t="s">
        <v>105</v>
      </c>
      <c r="G21" s="48"/>
      <c r="H21" s="48"/>
      <c r="I21" s="48"/>
      <c r="J21" s="48"/>
      <c r="K21" s="48"/>
      <c r="L21" s="67" t="s">
        <v>78</v>
      </c>
      <c r="M21" s="67" t="s">
        <v>79</v>
      </c>
      <c r="N21" s="60"/>
    </row>
    <row r="22" spans="1:14" s="63" customFormat="1" ht="42.75" outlineLevel="1">
      <c r="A22" s="90"/>
      <c r="B22" s="90"/>
      <c r="C22" s="98"/>
      <c r="D22" s="98"/>
      <c r="E22" s="54" t="s">
        <v>106</v>
      </c>
      <c r="F22" s="54" t="s">
        <v>107</v>
      </c>
      <c r="G22" s="48"/>
      <c r="H22" s="48"/>
      <c r="I22" s="48"/>
      <c r="J22" s="48"/>
      <c r="K22" s="48"/>
      <c r="L22" s="67" t="s">
        <v>78</v>
      </c>
      <c r="M22" s="67" t="s">
        <v>79</v>
      </c>
      <c r="N22" s="60"/>
    </row>
    <row r="23" spans="1:14" s="63" customFormat="1" ht="42.75" outlineLevel="1">
      <c r="A23" s="48">
        <v>1</v>
      </c>
      <c r="B23" s="48" t="str">
        <f>SUBSTITUTE(CONCATENATE((_xlfn.NUMBERVALUE(B20,".")+0.0001),IF(RIGHT(B20,2)="90","00","0")),",",".")</f>
        <v>1.01130</v>
      </c>
      <c r="C23" s="55" t="s">
        <v>114</v>
      </c>
      <c r="D23" s="55" t="s">
        <v>85</v>
      </c>
      <c r="E23" s="54" t="s">
        <v>86</v>
      </c>
      <c r="F23" s="54" t="s">
        <v>87</v>
      </c>
      <c r="G23" s="48"/>
      <c r="H23" s="48"/>
      <c r="I23" s="48"/>
      <c r="J23" s="48"/>
      <c r="K23" s="48"/>
      <c r="L23" s="67" t="s">
        <v>115</v>
      </c>
      <c r="M23" s="67" t="s">
        <v>79</v>
      </c>
      <c r="N23" s="60"/>
    </row>
    <row r="24" spans="1:14" s="63" customFormat="1" ht="42.75" outlineLevel="1">
      <c r="A24" s="48">
        <v>1</v>
      </c>
      <c r="B24" s="48" t="str">
        <f>SUBSTITUTE(CONCATENATE((_xlfn.NUMBERVALUE(B23,".")+0.0001),IF(RIGHT(B23,2)="90","00","0")),",",".")</f>
        <v>1.01140</v>
      </c>
      <c r="C24" s="55" t="s">
        <v>116</v>
      </c>
      <c r="D24" s="55" t="s">
        <v>109</v>
      </c>
      <c r="E24" s="54" t="s">
        <v>117</v>
      </c>
      <c r="F24" s="54" t="s">
        <v>118</v>
      </c>
      <c r="G24" s="48"/>
      <c r="H24" s="48"/>
      <c r="I24" s="48"/>
      <c r="J24" s="48"/>
      <c r="K24" s="48"/>
      <c r="L24" s="67" t="s">
        <v>115</v>
      </c>
      <c r="M24" s="67" t="s">
        <v>79</v>
      </c>
      <c r="N24" s="60"/>
    </row>
    <row r="25" spans="1:14" s="63" customFormat="1" ht="42.75" outlineLevel="1">
      <c r="A25" s="48">
        <v>1</v>
      </c>
      <c r="B25" s="48" t="str">
        <f t="shared" ref="B25:B27" si="1">SUBSTITUTE(CONCATENATE((_xlfn.NUMBERVALUE(B24,".")+0.0001),IF(RIGHT(B24,2)="90","00","0")),",",".")</f>
        <v>1.01150</v>
      </c>
      <c r="C25" s="55" t="s">
        <v>119</v>
      </c>
      <c r="D25" s="55" t="s">
        <v>120</v>
      </c>
      <c r="E25" s="54" t="s">
        <v>121</v>
      </c>
      <c r="F25" s="54" t="s">
        <v>122</v>
      </c>
      <c r="G25" s="48"/>
      <c r="H25" s="48"/>
      <c r="I25" s="48"/>
      <c r="J25" s="48"/>
      <c r="K25" s="48"/>
      <c r="L25" s="67" t="s">
        <v>115</v>
      </c>
      <c r="M25" s="67" t="s">
        <v>79</v>
      </c>
      <c r="N25" s="60"/>
    </row>
    <row r="26" spans="1:14" s="63" customFormat="1" ht="42.75" outlineLevel="1">
      <c r="A26" s="48">
        <v>1</v>
      </c>
      <c r="B26" s="48" t="str">
        <f t="shared" si="1"/>
        <v>1.01160</v>
      </c>
      <c r="C26" s="55" t="s">
        <v>116</v>
      </c>
      <c r="D26" s="55" t="s">
        <v>109</v>
      </c>
      <c r="E26" s="54" t="s">
        <v>110</v>
      </c>
      <c r="F26" s="54" t="s">
        <v>111</v>
      </c>
      <c r="G26" s="48"/>
      <c r="H26" s="48"/>
      <c r="I26" s="48"/>
      <c r="J26" s="48"/>
      <c r="K26" s="48"/>
      <c r="L26" s="67" t="s">
        <v>115</v>
      </c>
      <c r="M26" s="67" t="s">
        <v>79</v>
      </c>
      <c r="N26" s="60"/>
    </row>
    <row r="27" spans="1:14" s="63" customFormat="1" ht="42.75" outlineLevel="1">
      <c r="A27" s="48">
        <v>1</v>
      </c>
      <c r="B27" s="48" t="str">
        <f t="shared" si="1"/>
        <v>1.01170</v>
      </c>
      <c r="C27" s="55" t="s">
        <v>114</v>
      </c>
      <c r="D27" s="55" t="s">
        <v>85</v>
      </c>
      <c r="E27" s="54" t="s">
        <v>117</v>
      </c>
      <c r="F27" s="54" t="s">
        <v>118</v>
      </c>
      <c r="G27" s="48"/>
      <c r="H27" s="48"/>
      <c r="I27" s="48"/>
      <c r="J27" s="48"/>
      <c r="K27" s="48"/>
      <c r="L27" s="67" t="s">
        <v>115</v>
      </c>
      <c r="M27" s="67" t="s">
        <v>79</v>
      </c>
      <c r="N27" s="60"/>
    </row>
    <row r="28" spans="1:14" s="63" customFormat="1" ht="42.75" outlineLevel="1">
      <c r="A28" s="48">
        <v>1</v>
      </c>
      <c r="B28" s="48" t="str">
        <f>SUBSTITUTE(CONCATENATE((_xlfn.NUMBERVALUE(B27,".")+0.0001),IF(RIGHT(B27,2)="90","00","0")),",",".")</f>
        <v>1.01180</v>
      </c>
      <c r="C28" s="55" t="s">
        <v>116</v>
      </c>
      <c r="D28" s="55" t="s">
        <v>109</v>
      </c>
      <c r="E28" s="54" t="s">
        <v>123</v>
      </c>
      <c r="F28" s="54" t="s">
        <v>124</v>
      </c>
      <c r="G28" s="48"/>
      <c r="H28" s="48"/>
      <c r="I28" s="48"/>
      <c r="J28" s="48"/>
      <c r="K28" s="48"/>
      <c r="L28" s="67" t="s">
        <v>115</v>
      </c>
      <c r="M28" s="67" t="s">
        <v>79</v>
      </c>
      <c r="N28" s="60"/>
    </row>
    <row r="29" spans="1:14" s="63" customFormat="1" ht="50.25" outlineLevel="1">
      <c r="A29" s="48">
        <v>1</v>
      </c>
      <c r="B29" s="48" t="str">
        <f>SUBSTITUTE(CONCATENATE((_xlfn.NUMBERVALUE(B28,".")+0.0001),IF(RIGHT(B28,2)="90","00","0")),",",".")</f>
        <v>1.01190</v>
      </c>
      <c r="C29" s="55" t="s">
        <v>125</v>
      </c>
      <c r="D29" s="55" t="s">
        <v>126</v>
      </c>
      <c r="E29" s="54" t="s">
        <v>127</v>
      </c>
      <c r="F29" s="54" t="s">
        <v>128</v>
      </c>
      <c r="G29" s="71" t="s">
        <v>129</v>
      </c>
      <c r="H29" s="48"/>
      <c r="I29" s="48"/>
      <c r="J29" s="48"/>
      <c r="K29" s="48"/>
      <c r="L29" s="67" t="s">
        <v>115</v>
      </c>
      <c r="M29" s="67" t="s">
        <v>79</v>
      </c>
      <c r="N29" s="60"/>
    </row>
    <row r="30" spans="1:14" s="63" customFormat="1" ht="71.25" outlineLevel="1">
      <c r="A30" s="48">
        <v>1</v>
      </c>
      <c r="B30" s="48" t="str">
        <f>SUBSTITUTE(CONCATENATE((_xlfn.NUMBERVALUE(B29,".")+0.0001),IF(RIGHT(B29,2)="90","00","0")),",",".")</f>
        <v>1.01200</v>
      </c>
      <c r="C30" s="55" t="s">
        <v>130</v>
      </c>
      <c r="D30" s="55" t="s">
        <v>131</v>
      </c>
      <c r="E30" s="54" t="s">
        <v>132</v>
      </c>
      <c r="F30" s="54" t="s">
        <v>133</v>
      </c>
      <c r="G30" s="48"/>
      <c r="H30" s="48"/>
      <c r="I30" s="48"/>
      <c r="J30" s="48"/>
      <c r="K30" s="48"/>
      <c r="L30" s="67" t="s">
        <v>115</v>
      </c>
      <c r="M30" s="67" t="s">
        <v>79</v>
      </c>
      <c r="N30" s="60"/>
    </row>
    <row r="31" spans="1:14" s="63" customFormat="1" ht="51" outlineLevel="1">
      <c r="A31" s="48">
        <v>1</v>
      </c>
      <c r="B31" s="48" t="str">
        <f t="shared" si="0"/>
        <v>1.01210</v>
      </c>
      <c r="C31" s="55" t="s">
        <v>134</v>
      </c>
      <c r="D31" s="55" t="s">
        <v>135</v>
      </c>
      <c r="E31" s="54" t="s">
        <v>127</v>
      </c>
      <c r="F31" s="54" t="s">
        <v>128</v>
      </c>
      <c r="G31" s="71" t="s">
        <v>136</v>
      </c>
      <c r="H31" s="48"/>
      <c r="I31" s="48"/>
      <c r="J31" s="48"/>
      <c r="K31" s="48"/>
      <c r="L31" s="67" t="s">
        <v>115</v>
      </c>
      <c r="M31" s="67" t="s">
        <v>79</v>
      </c>
      <c r="N31" s="60"/>
    </row>
    <row r="32" spans="1:14" s="63" customFormat="1" ht="42.75" outlineLevel="1">
      <c r="A32" s="48">
        <v>1</v>
      </c>
      <c r="B32" s="48" t="str">
        <f t="shared" si="0"/>
        <v>1.01220</v>
      </c>
      <c r="C32" s="55" t="s">
        <v>88</v>
      </c>
      <c r="D32" s="55" t="s">
        <v>89</v>
      </c>
      <c r="E32" s="54" t="s">
        <v>137</v>
      </c>
      <c r="F32" s="54" t="s">
        <v>138</v>
      </c>
      <c r="G32" s="48"/>
      <c r="H32" s="48"/>
      <c r="I32" s="48"/>
      <c r="J32" s="48"/>
      <c r="K32" s="48"/>
      <c r="L32" s="67" t="s">
        <v>115</v>
      </c>
      <c r="M32" s="67" t="s">
        <v>79</v>
      </c>
      <c r="N32" s="60"/>
    </row>
    <row r="33" spans="1:15" s="63" customFormat="1" ht="28.5" customHeight="1" outlineLevel="1">
      <c r="A33" s="89">
        <v>1</v>
      </c>
      <c r="B33" s="89" t="str">
        <f t="shared" si="0"/>
        <v>1.01230</v>
      </c>
      <c r="C33" s="92" t="s">
        <v>100</v>
      </c>
      <c r="D33" s="92" t="s">
        <v>101</v>
      </c>
      <c r="E33" s="54" t="s">
        <v>139</v>
      </c>
      <c r="F33" s="54" t="s">
        <v>140</v>
      </c>
      <c r="G33" s="48"/>
      <c r="H33" s="48"/>
      <c r="I33" s="48"/>
      <c r="J33" s="48"/>
      <c r="K33" s="48"/>
      <c r="L33" s="67" t="s">
        <v>115</v>
      </c>
      <c r="M33" s="67" t="s">
        <v>79</v>
      </c>
      <c r="N33" s="60"/>
    </row>
    <row r="34" spans="1:15" s="63" customFormat="1" ht="28.5" customHeight="1" outlineLevel="1">
      <c r="A34" s="91"/>
      <c r="B34" s="91"/>
      <c r="C34" s="93"/>
      <c r="D34" s="93"/>
      <c r="E34" s="54" t="s">
        <v>141</v>
      </c>
      <c r="F34" s="54" t="s">
        <v>142</v>
      </c>
      <c r="G34" s="48"/>
      <c r="H34" s="48"/>
      <c r="I34" s="48"/>
      <c r="J34" s="48"/>
      <c r="K34" s="48"/>
      <c r="L34" s="67" t="s">
        <v>115</v>
      </c>
      <c r="M34" s="67" t="s">
        <v>79</v>
      </c>
      <c r="N34" s="60"/>
    </row>
    <row r="35" spans="1:15" s="63" customFormat="1" ht="20.25" customHeight="1" outlineLevel="1">
      <c r="A35" s="95"/>
      <c r="B35" s="95"/>
      <c r="C35" s="94"/>
      <c r="D35" s="94"/>
      <c r="E35" s="54" t="s">
        <v>143</v>
      </c>
      <c r="F35" s="54" t="s">
        <v>144</v>
      </c>
      <c r="G35" s="48"/>
      <c r="H35" s="48"/>
      <c r="I35" s="48"/>
      <c r="J35" s="48"/>
      <c r="K35" s="48"/>
      <c r="L35" s="67" t="s">
        <v>115</v>
      </c>
      <c r="M35" s="67" t="s">
        <v>79</v>
      </c>
      <c r="N35" s="60"/>
    </row>
    <row r="36" spans="1:15" s="78" customFormat="1" ht="114">
      <c r="A36" s="79">
        <v>1</v>
      </c>
      <c r="B36" s="79" t="s">
        <v>145</v>
      </c>
      <c r="C36" s="80" t="s">
        <v>146</v>
      </c>
      <c r="D36" s="80" t="s">
        <v>147</v>
      </c>
      <c r="E36" s="80"/>
      <c r="F36" s="80"/>
      <c r="G36" s="79"/>
      <c r="H36" s="79"/>
      <c r="I36" s="79"/>
      <c r="J36" s="79" t="s">
        <v>148</v>
      </c>
      <c r="K36" s="81" t="s">
        <v>149</v>
      </c>
      <c r="L36" s="57" t="s">
        <v>150</v>
      </c>
      <c r="M36" s="57" t="s">
        <v>65</v>
      </c>
      <c r="N36" s="60"/>
      <c r="O36" s="10" t="s">
        <v>72</v>
      </c>
    </row>
    <row r="37" spans="1:15" s="78" customFormat="1" ht="104.25" customHeight="1" outlineLevel="1">
      <c r="A37" s="82">
        <v>1</v>
      </c>
      <c r="B37" s="82" t="str">
        <f>SUBSTITUTE(CONCATENATE((_xlfn.NUMBERVALUE(B36,".")+0.0001),IF(RIGHT(B36,2)="90","00","0")),",",".")</f>
        <v>1.02010</v>
      </c>
      <c r="C37" s="83" t="s">
        <v>151</v>
      </c>
      <c r="D37" s="83" t="s">
        <v>152</v>
      </c>
      <c r="E37" s="84" t="s">
        <v>153</v>
      </c>
      <c r="F37" s="84" t="s">
        <v>154</v>
      </c>
      <c r="G37" s="85" t="s">
        <v>155</v>
      </c>
      <c r="H37" s="82"/>
      <c r="I37" s="82"/>
      <c r="J37" s="82"/>
      <c r="K37" s="82"/>
      <c r="L37" s="67" t="s">
        <v>115</v>
      </c>
      <c r="M37" s="67" t="s">
        <v>79</v>
      </c>
      <c r="N37" s="60"/>
      <c r="O37" s="63"/>
    </row>
    <row r="38" spans="1:15" s="78" customFormat="1" ht="42.75" outlineLevel="1">
      <c r="A38" s="48">
        <v>1</v>
      </c>
      <c r="B38" s="48" t="str">
        <f>SUBSTITUTE(CONCATENATE((_xlfn.NUMBERVALUE(B37,".")+0.0001),IF(RIGHT(B37,2)="90","00","0")),",",".")</f>
        <v>1.02020</v>
      </c>
      <c r="C38" s="55" t="s">
        <v>84</v>
      </c>
      <c r="D38" s="55" t="s">
        <v>85</v>
      </c>
      <c r="E38" s="54" t="s">
        <v>86</v>
      </c>
      <c r="F38" s="54" t="s">
        <v>87</v>
      </c>
      <c r="G38" s="48"/>
      <c r="H38" s="48"/>
      <c r="I38" s="48"/>
      <c r="J38" s="48"/>
      <c r="K38" s="48"/>
      <c r="L38" s="67" t="s">
        <v>115</v>
      </c>
      <c r="M38" s="67" t="s">
        <v>79</v>
      </c>
      <c r="N38" s="60"/>
      <c r="O38" s="63"/>
    </row>
    <row r="39" spans="1:15" s="78" customFormat="1" ht="42.75" outlineLevel="1">
      <c r="A39" s="48">
        <v>1</v>
      </c>
      <c r="B39" s="48" t="str">
        <f t="shared" ref="B39:B47" si="2">SUBSTITUTE(CONCATENATE((_xlfn.NUMBERVALUE(B38,".")+0.0001),IF(RIGHT(B38,2)="90","00","0")),",",".")</f>
        <v>1.02030</v>
      </c>
      <c r="C39" s="55" t="s">
        <v>88</v>
      </c>
      <c r="D39" s="55" t="s">
        <v>89</v>
      </c>
      <c r="E39" s="54" t="s">
        <v>90</v>
      </c>
      <c r="F39" s="54" t="s">
        <v>91</v>
      </c>
      <c r="G39" s="48"/>
      <c r="H39" s="48"/>
      <c r="I39" s="48"/>
      <c r="J39" s="48"/>
      <c r="K39" s="48"/>
      <c r="L39" s="67" t="s">
        <v>115</v>
      </c>
      <c r="M39" s="67" t="s">
        <v>79</v>
      </c>
      <c r="N39" s="60"/>
      <c r="O39" s="63"/>
    </row>
    <row r="40" spans="1:15" s="78" customFormat="1" ht="57" outlineLevel="1">
      <c r="A40" s="48">
        <v>1</v>
      </c>
      <c r="B40" s="48" t="str">
        <f t="shared" si="2"/>
        <v>1.02040</v>
      </c>
      <c r="C40" s="55" t="s">
        <v>92</v>
      </c>
      <c r="D40" s="55" t="s">
        <v>93</v>
      </c>
      <c r="E40" s="54" t="s">
        <v>94</v>
      </c>
      <c r="F40" s="54" t="s">
        <v>95</v>
      </c>
      <c r="G40" s="48"/>
      <c r="H40" s="48"/>
      <c r="I40" s="48"/>
      <c r="J40" s="48"/>
      <c r="K40" s="48"/>
      <c r="L40" s="67" t="s">
        <v>115</v>
      </c>
      <c r="M40" s="67" t="s">
        <v>79</v>
      </c>
      <c r="N40" s="60"/>
      <c r="O40" s="63"/>
    </row>
    <row r="41" spans="1:15" s="78" customFormat="1" ht="21" customHeight="1" outlineLevel="1">
      <c r="A41" s="89">
        <v>1</v>
      </c>
      <c r="B41" s="89" t="str">
        <f t="shared" si="2"/>
        <v>1.02050</v>
      </c>
      <c r="C41" s="92" t="s">
        <v>156</v>
      </c>
      <c r="D41" s="92" t="s">
        <v>157</v>
      </c>
      <c r="E41" s="54" t="s">
        <v>158</v>
      </c>
      <c r="F41" s="54" t="s">
        <v>159</v>
      </c>
      <c r="G41" s="48"/>
      <c r="H41" s="48"/>
      <c r="I41" s="48"/>
      <c r="J41" s="48"/>
      <c r="K41" s="48"/>
      <c r="L41" s="67" t="s">
        <v>115</v>
      </c>
      <c r="M41" s="67" t="s">
        <v>79</v>
      </c>
      <c r="N41" s="60"/>
      <c r="O41" s="63"/>
    </row>
    <row r="42" spans="1:15" s="78" customFormat="1" ht="19.5" customHeight="1" outlineLevel="1">
      <c r="A42" s="91"/>
      <c r="B42" s="91"/>
      <c r="C42" s="93"/>
      <c r="D42" s="93"/>
      <c r="E42" s="54" t="s">
        <v>104</v>
      </c>
      <c r="F42" s="54" t="s">
        <v>105</v>
      </c>
      <c r="G42" s="48"/>
      <c r="H42" s="48"/>
      <c r="I42" s="48"/>
      <c r="J42" s="48"/>
      <c r="K42" s="48"/>
      <c r="L42" s="67" t="s">
        <v>115</v>
      </c>
      <c r="M42" s="67" t="s">
        <v>79</v>
      </c>
      <c r="N42" s="60"/>
      <c r="O42" s="63"/>
    </row>
    <row r="43" spans="1:15" s="78" customFormat="1" ht="28.5" customHeight="1" outlineLevel="1">
      <c r="A43" s="90"/>
      <c r="B43" s="90"/>
      <c r="C43" s="98"/>
      <c r="D43" s="98"/>
      <c r="E43" s="54" t="s">
        <v>106</v>
      </c>
      <c r="F43" s="54" t="s">
        <v>107</v>
      </c>
      <c r="G43" s="48"/>
      <c r="H43" s="48"/>
      <c r="I43" s="48"/>
      <c r="J43" s="48"/>
      <c r="K43" s="48"/>
      <c r="L43" s="67" t="s">
        <v>115</v>
      </c>
      <c r="M43" s="67" t="s">
        <v>79</v>
      </c>
      <c r="N43" s="60"/>
      <c r="O43" s="63"/>
    </row>
    <row r="44" spans="1:15" s="78" customFormat="1" ht="42.75" outlineLevel="1">
      <c r="A44" s="48">
        <v>1</v>
      </c>
      <c r="B44" s="48" t="str">
        <f>SUBSTITUTE(CONCATENATE((_xlfn.NUMBERVALUE(B41,".")+0.0001),IF(RIGHT(B41,2)="90","00","0")),",",".")</f>
        <v>1.02060</v>
      </c>
      <c r="C44" s="55" t="s">
        <v>108</v>
      </c>
      <c r="D44" s="55" t="s">
        <v>109</v>
      </c>
      <c r="E44" s="54" t="s">
        <v>110</v>
      </c>
      <c r="F44" s="54" t="s">
        <v>111</v>
      </c>
      <c r="G44" s="48"/>
      <c r="H44" s="48"/>
      <c r="I44" s="48"/>
      <c r="J44" s="48"/>
      <c r="K44" s="48"/>
      <c r="L44" s="67" t="s">
        <v>115</v>
      </c>
      <c r="M44" s="67" t="s">
        <v>79</v>
      </c>
      <c r="N44" s="60"/>
      <c r="O44" s="63"/>
    </row>
    <row r="45" spans="1:15" s="78" customFormat="1" ht="42.75" outlineLevel="1">
      <c r="A45" s="48">
        <v>1</v>
      </c>
      <c r="B45" s="48" t="str">
        <f t="shared" si="2"/>
        <v>1.02070</v>
      </c>
      <c r="C45" s="55" t="s">
        <v>88</v>
      </c>
      <c r="D45" s="55" t="s">
        <v>89</v>
      </c>
      <c r="E45" s="54" t="s">
        <v>90</v>
      </c>
      <c r="F45" s="54" t="s">
        <v>91</v>
      </c>
      <c r="G45" s="48"/>
      <c r="H45" s="48"/>
      <c r="I45" s="48"/>
      <c r="J45" s="48"/>
      <c r="K45" s="48"/>
      <c r="L45" s="67" t="s">
        <v>115</v>
      </c>
      <c r="M45" s="67" t="s">
        <v>79</v>
      </c>
      <c r="N45" s="60"/>
      <c r="O45" s="63"/>
    </row>
    <row r="46" spans="1:15" s="78" customFormat="1" ht="57" outlineLevel="1">
      <c r="A46" s="48">
        <v>1</v>
      </c>
      <c r="B46" s="48" t="str">
        <f t="shared" si="2"/>
        <v>1.02080</v>
      </c>
      <c r="C46" s="55" t="s">
        <v>92</v>
      </c>
      <c r="D46" s="55" t="s">
        <v>93</v>
      </c>
      <c r="E46" s="54" t="s">
        <v>112</v>
      </c>
      <c r="F46" s="54" t="s">
        <v>113</v>
      </c>
      <c r="G46" s="48"/>
      <c r="H46" s="48"/>
      <c r="I46" s="48"/>
      <c r="J46" s="48"/>
      <c r="K46" s="48"/>
      <c r="L46" s="67" t="s">
        <v>115</v>
      </c>
      <c r="M46" s="67" t="s">
        <v>79</v>
      </c>
      <c r="N46" s="60"/>
      <c r="O46" s="63"/>
    </row>
    <row r="47" spans="1:15" s="78" customFormat="1" ht="21.6" customHeight="1" outlineLevel="1">
      <c r="A47" s="89">
        <v>1</v>
      </c>
      <c r="B47" s="89" t="str">
        <f t="shared" si="2"/>
        <v>1.02090</v>
      </c>
      <c r="C47" s="92" t="s">
        <v>156</v>
      </c>
      <c r="D47" s="92" t="s">
        <v>157</v>
      </c>
      <c r="E47" s="54" t="s">
        <v>158</v>
      </c>
      <c r="F47" s="54" t="s">
        <v>159</v>
      </c>
      <c r="G47" s="48"/>
      <c r="H47" s="48"/>
      <c r="I47" s="48"/>
      <c r="J47" s="48"/>
      <c r="K47" s="48"/>
      <c r="L47" s="67" t="s">
        <v>115</v>
      </c>
      <c r="M47" s="67" t="s">
        <v>79</v>
      </c>
      <c r="N47" s="60"/>
      <c r="O47" s="63"/>
    </row>
    <row r="48" spans="1:15" s="78" customFormat="1" ht="20.100000000000001" customHeight="1" outlineLevel="1">
      <c r="A48" s="91"/>
      <c r="B48" s="91"/>
      <c r="C48" s="93"/>
      <c r="D48" s="93"/>
      <c r="E48" s="54" t="s">
        <v>104</v>
      </c>
      <c r="F48" s="54" t="s">
        <v>105</v>
      </c>
      <c r="G48" s="48"/>
      <c r="H48" s="48"/>
      <c r="I48" s="48"/>
      <c r="J48" s="48"/>
      <c r="K48" s="48"/>
      <c r="L48" s="67" t="s">
        <v>115</v>
      </c>
      <c r="M48" s="67" t="s">
        <v>79</v>
      </c>
      <c r="N48" s="60"/>
      <c r="O48" s="63"/>
    </row>
    <row r="49" spans="1:18" s="78" customFormat="1" ht="32.25" customHeight="1" outlineLevel="1">
      <c r="A49" s="95"/>
      <c r="B49" s="95"/>
      <c r="C49" s="98"/>
      <c r="D49" s="98"/>
      <c r="E49" s="54" t="s">
        <v>106</v>
      </c>
      <c r="F49" s="54" t="s">
        <v>107</v>
      </c>
      <c r="G49" s="48"/>
      <c r="H49" s="48"/>
      <c r="I49" s="48"/>
      <c r="J49" s="48"/>
      <c r="K49" s="48"/>
      <c r="L49" s="67" t="s">
        <v>115</v>
      </c>
      <c r="M49" s="67" t="s">
        <v>79</v>
      </c>
      <c r="N49" s="60"/>
      <c r="O49" s="63"/>
    </row>
    <row r="50" spans="1:18" ht="57">
      <c r="A50" s="45">
        <v>1</v>
      </c>
      <c r="B50" s="45" t="s">
        <v>160</v>
      </c>
      <c r="C50" s="50" t="s">
        <v>161</v>
      </c>
      <c r="D50" s="50" t="s">
        <v>162</v>
      </c>
      <c r="E50" s="50"/>
      <c r="F50" s="50"/>
      <c r="G50" s="50"/>
      <c r="H50" s="50"/>
      <c r="I50" s="50"/>
      <c r="J50" s="45" t="s">
        <v>163</v>
      </c>
      <c r="K50" s="50"/>
      <c r="L50" s="59" t="s">
        <v>78</v>
      </c>
      <c r="M50" s="60" t="s">
        <v>79</v>
      </c>
      <c r="N50" s="60"/>
      <c r="O50" s="10" t="s">
        <v>72</v>
      </c>
      <c r="P50" s="58"/>
      <c r="Q50" s="58"/>
      <c r="R50" s="58"/>
    </row>
    <row r="51" spans="1:18" ht="108.75" customHeight="1" outlineLevel="1">
      <c r="A51" s="46">
        <v>1</v>
      </c>
      <c r="B51" s="46" t="str">
        <f>SUBSTITUTE(CONCATENATE((_xlfn.NUMBERVALUE(B50,".")+0.0001),IF(RIGHT(B50,2)="90","00","0")),",",".")</f>
        <v>1.03010</v>
      </c>
      <c r="C51" s="53" t="s">
        <v>164</v>
      </c>
      <c r="D51" s="53" t="s">
        <v>165</v>
      </c>
      <c r="E51" s="76" t="s">
        <v>75</v>
      </c>
      <c r="F51" s="76" t="s">
        <v>76</v>
      </c>
      <c r="G51" s="77" t="s">
        <v>77</v>
      </c>
      <c r="H51" s="53"/>
      <c r="I51" s="53"/>
      <c r="J51" s="46"/>
      <c r="K51" s="53"/>
      <c r="L51" s="59" t="s">
        <v>78</v>
      </c>
      <c r="M51" s="60" t="s">
        <v>79</v>
      </c>
      <c r="N51" s="60"/>
      <c r="O51" s="10" t="s">
        <v>72</v>
      </c>
      <c r="P51" s="58"/>
      <c r="Q51" s="58"/>
      <c r="R51" s="58"/>
    </row>
    <row r="52" spans="1:18" ht="42.75" outlineLevel="1">
      <c r="A52" s="48">
        <v>1</v>
      </c>
      <c r="B52" s="48" t="str">
        <f>SUBSTITUTE(CONCATENATE((_xlfn.NUMBERVALUE(B51,".")+0.0001),IF(RIGHT(B51,2)="90","00","0")),",",".")</f>
        <v>1.03020</v>
      </c>
      <c r="C52" s="55" t="s">
        <v>166</v>
      </c>
      <c r="D52" s="55" t="s">
        <v>167</v>
      </c>
      <c r="E52" s="54" t="s">
        <v>86</v>
      </c>
      <c r="F52" s="54" t="s">
        <v>87</v>
      </c>
      <c r="G52" s="48"/>
      <c r="H52" s="48"/>
      <c r="I52" s="88"/>
      <c r="J52" s="48"/>
      <c r="K52" s="48"/>
      <c r="L52" s="59" t="s">
        <v>78</v>
      </c>
      <c r="M52" s="60" t="s">
        <v>79</v>
      </c>
      <c r="N52" s="60"/>
      <c r="O52" s="10" t="s">
        <v>168</v>
      </c>
    </row>
    <row r="53" spans="1:18" ht="28.5" customHeight="1" outlineLevel="1">
      <c r="A53" s="96">
        <v>1</v>
      </c>
      <c r="B53" s="96" t="str">
        <f>SUBSTITUTE(CONCATENATE((_xlfn.NUMBERVALUE(B52,".")+0.0001),IF(RIGHT(B52,2)="90","00","0")),",",".")</f>
        <v>1.03030</v>
      </c>
      <c r="C53" s="97" t="s">
        <v>169</v>
      </c>
      <c r="D53" s="97" t="s">
        <v>170</v>
      </c>
      <c r="E53" s="54" t="s">
        <v>171</v>
      </c>
      <c r="F53" s="54" t="s">
        <v>172</v>
      </c>
      <c r="G53" s="48"/>
      <c r="H53" s="48"/>
      <c r="I53" s="88"/>
      <c r="J53" s="48"/>
      <c r="K53" s="48"/>
      <c r="L53" s="59" t="s">
        <v>78</v>
      </c>
      <c r="M53" s="60" t="s">
        <v>79</v>
      </c>
      <c r="N53" s="60"/>
      <c r="O53" s="10" t="s">
        <v>168</v>
      </c>
    </row>
    <row r="54" spans="1:18" ht="42.75" outlineLevel="1">
      <c r="A54" s="96"/>
      <c r="B54" s="96"/>
      <c r="C54" s="97"/>
      <c r="D54" s="97"/>
      <c r="E54" s="54" t="s">
        <v>173</v>
      </c>
      <c r="F54" s="54" t="s">
        <v>174</v>
      </c>
      <c r="G54" s="48" t="s">
        <v>175</v>
      </c>
      <c r="H54" s="48"/>
      <c r="I54" s="48"/>
      <c r="J54" s="48"/>
      <c r="K54" s="48"/>
      <c r="L54" s="59" t="s">
        <v>115</v>
      </c>
      <c r="M54" s="60"/>
      <c r="N54" s="60"/>
      <c r="O54" s="10"/>
    </row>
    <row r="55" spans="1:18" ht="28.5" outlineLevel="1">
      <c r="A55" s="48">
        <v>1</v>
      </c>
      <c r="B55" s="48" t="str">
        <f>SUBSTITUTE(CONCATENATE((_xlfn.NUMBERVALUE(B53,".")+0.0001),IF(RIGHT(B53,2)="90","00","0")),",",".")</f>
        <v>1.03040</v>
      </c>
      <c r="C55" s="55" t="s">
        <v>176</v>
      </c>
      <c r="D55" s="55" t="s">
        <v>177</v>
      </c>
      <c r="E55" s="54" t="s">
        <v>178</v>
      </c>
      <c r="F55" s="54" t="s">
        <v>179</v>
      </c>
      <c r="G55" s="48"/>
      <c r="H55" s="48"/>
      <c r="I55" s="88"/>
      <c r="J55" s="48"/>
      <c r="K55" s="48"/>
      <c r="L55" s="59" t="s">
        <v>78</v>
      </c>
      <c r="M55" s="60" t="s">
        <v>79</v>
      </c>
      <c r="N55" s="60"/>
      <c r="O55" s="10" t="s">
        <v>168</v>
      </c>
    </row>
    <row r="56" spans="1:18" ht="28.5" outlineLevel="1">
      <c r="A56" s="48">
        <v>1</v>
      </c>
      <c r="B56" s="48" t="str">
        <f>SUBSTITUTE(CONCATENATE((_xlfn.NUMBERVALUE(B55,".")+0.0001),IF(RIGHT(B55,2)="90","00","0")),",",".")</f>
        <v>1.03050</v>
      </c>
      <c r="C56" s="55" t="s">
        <v>180</v>
      </c>
      <c r="D56" s="55" t="s">
        <v>181</v>
      </c>
      <c r="E56" s="54" t="s">
        <v>182</v>
      </c>
      <c r="F56" s="54" t="s">
        <v>183</v>
      </c>
      <c r="G56" s="48"/>
      <c r="H56" s="48"/>
      <c r="I56" s="88"/>
      <c r="J56" s="48"/>
      <c r="K56" s="48"/>
      <c r="L56" s="59" t="s">
        <v>78</v>
      </c>
      <c r="M56" s="60" t="s">
        <v>79</v>
      </c>
      <c r="N56" s="60"/>
      <c r="O56" s="10" t="s">
        <v>168</v>
      </c>
    </row>
    <row r="57" spans="1:18" ht="21" customHeight="1" outlineLevel="1">
      <c r="A57" s="96">
        <v>1</v>
      </c>
      <c r="B57" s="96" t="str">
        <f>SUBSTITUTE(CONCATENATE((_xlfn.NUMBERVALUE(B56,".")+0.0001),IF(RIGHT(B56,2)="90","00","0")),",",".")</f>
        <v>1.03060</v>
      </c>
      <c r="C57" s="97" t="s">
        <v>96</v>
      </c>
      <c r="D57" s="97" t="s">
        <v>97</v>
      </c>
      <c r="E57" s="54" t="s">
        <v>184</v>
      </c>
      <c r="F57" s="54" t="s">
        <v>185</v>
      </c>
      <c r="G57" s="48"/>
      <c r="H57" s="48"/>
      <c r="I57" s="88"/>
      <c r="J57" s="48"/>
      <c r="K57" s="48"/>
      <c r="L57" s="59" t="s">
        <v>78</v>
      </c>
      <c r="M57" s="60" t="s">
        <v>79</v>
      </c>
      <c r="N57" s="60"/>
      <c r="O57" s="10" t="s">
        <v>168</v>
      </c>
    </row>
    <row r="58" spans="1:18" ht="22.5" customHeight="1" outlineLevel="1">
      <c r="A58" s="96"/>
      <c r="B58" s="96"/>
      <c r="C58" s="97"/>
      <c r="D58" s="97"/>
      <c r="E58" s="54" t="s">
        <v>186</v>
      </c>
      <c r="F58" s="54" t="s">
        <v>187</v>
      </c>
      <c r="G58" s="48"/>
      <c r="H58" s="48"/>
      <c r="I58" s="88"/>
      <c r="J58" s="48"/>
      <c r="K58" s="48"/>
      <c r="L58" s="59" t="s">
        <v>78</v>
      </c>
      <c r="M58" s="60" t="s">
        <v>79</v>
      </c>
      <c r="N58" s="60"/>
      <c r="O58" s="10" t="s">
        <v>168</v>
      </c>
    </row>
    <row r="59" spans="1:18" ht="42.75" outlineLevel="1">
      <c r="A59" s="48">
        <v>1</v>
      </c>
      <c r="B59" s="48" t="str">
        <f>SUBSTITUTE(CONCATENATE((_xlfn.NUMBERVALUE(B57,".")+0.0001),IF(RIGHT(B57,2)="90","00","0")),",",".")</f>
        <v>1.03070</v>
      </c>
      <c r="C59" s="55" t="s">
        <v>188</v>
      </c>
      <c r="D59" s="55" t="s">
        <v>189</v>
      </c>
      <c r="E59" s="54" t="s">
        <v>190</v>
      </c>
      <c r="F59" s="54" t="s">
        <v>191</v>
      </c>
      <c r="G59" s="48"/>
      <c r="H59" s="48"/>
      <c r="I59" s="88"/>
      <c r="J59" s="48"/>
      <c r="K59" s="48"/>
      <c r="L59" s="59" t="s">
        <v>78</v>
      </c>
      <c r="M59" s="60" t="s">
        <v>79</v>
      </c>
      <c r="N59" s="60"/>
      <c r="O59" s="10"/>
    </row>
    <row r="60" spans="1:18" ht="31.5" customHeight="1" outlineLevel="1">
      <c r="A60" s="48">
        <v>1</v>
      </c>
      <c r="B60" s="48" t="str">
        <f>SUBSTITUTE(CONCATENATE((_xlfn.NUMBERVALUE(B59,".")+0.0001),IF(RIGHT(B59,2)="90","00","0")),",",".")</f>
        <v>1.03080</v>
      </c>
      <c r="C60" s="55" t="s">
        <v>192</v>
      </c>
      <c r="D60" s="55" t="s">
        <v>193</v>
      </c>
      <c r="E60" s="54" t="s">
        <v>110</v>
      </c>
      <c r="F60" s="54" t="s">
        <v>111</v>
      </c>
      <c r="G60" s="48"/>
      <c r="H60" s="48"/>
      <c r="I60" s="88"/>
      <c r="J60" s="48"/>
      <c r="K60" s="48"/>
      <c r="L60" s="59" t="s">
        <v>78</v>
      </c>
      <c r="M60" s="60" t="s">
        <v>79</v>
      </c>
      <c r="N60" s="60"/>
      <c r="O60" s="10"/>
    </row>
    <row r="61" spans="1:18" ht="31.5" customHeight="1" outlineLevel="1">
      <c r="A61" s="96">
        <v>1</v>
      </c>
      <c r="B61" s="96" t="str">
        <f>SUBSTITUTE(CONCATENATE((_xlfn.NUMBERVALUE(B60,".")+0.0001),IF(RIGHT(B60,2)="90","00","0")),",",".")</f>
        <v>1.03090</v>
      </c>
      <c r="C61" s="97" t="s">
        <v>169</v>
      </c>
      <c r="D61" s="97" t="s">
        <v>170</v>
      </c>
      <c r="E61" s="54" t="s">
        <v>194</v>
      </c>
      <c r="F61" s="54" t="s">
        <v>195</v>
      </c>
      <c r="G61" s="48"/>
      <c r="H61" s="48"/>
      <c r="I61" s="88"/>
      <c r="J61" s="48"/>
      <c r="K61" s="48"/>
      <c r="L61" s="59" t="s">
        <v>78</v>
      </c>
      <c r="M61" s="60" t="s">
        <v>79</v>
      </c>
      <c r="N61" s="60"/>
      <c r="O61" s="10"/>
    </row>
    <row r="62" spans="1:18" ht="31.5" customHeight="1" outlineLevel="1">
      <c r="A62" s="96"/>
      <c r="B62" s="96"/>
      <c r="C62" s="97"/>
      <c r="D62" s="97"/>
      <c r="E62" s="54" t="s">
        <v>173</v>
      </c>
      <c r="F62" s="54" t="s">
        <v>174</v>
      </c>
      <c r="G62" s="48" t="s">
        <v>196</v>
      </c>
      <c r="H62" s="48"/>
      <c r="I62" s="88"/>
      <c r="J62" s="48"/>
      <c r="K62" s="48"/>
      <c r="L62" s="59" t="s">
        <v>115</v>
      </c>
      <c r="M62" s="60"/>
      <c r="N62" s="60"/>
      <c r="O62" s="10"/>
    </row>
    <row r="63" spans="1:18" ht="31.5" customHeight="1" outlineLevel="1">
      <c r="A63" s="48">
        <v>1</v>
      </c>
      <c r="B63" s="48" t="str">
        <f>SUBSTITUTE(CONCATENATE((_xlfn.NUMBERVALUE(B61,".")+0.0001),IF(RIGHT(B61,2)="90","00","0")),",",".")</f>
        <v>1.03100</v>
      </c>
      <c r="C63" s="55" t="s">
        <v>180</v>
      </c>
      <c r="D63" s="55" t="s">
        <v>181</v>
      </c>
      <c r="E63" s="54" t="s">
        <v>178</v>
      </c>
      <c r="F63" s="54" t="s">
        <v>179</v>
      </c>
      <c r="G63" s="48"/>
      <c r="H63" s="48"/>
      <c r="I63" s="88"/>
      <c r="J63" s="48"/>
      <c r="K63" s="48"/>
      <c r="L63" s="59" t="s">
        <v>78</v>
      </c>
      <c r="M63" s="60" t="s">
        <v>79</v>
      </c>
      <c r="N63" s="60"/>
      <c r="O63" s="10"/>
    </row>
    <row r="64" spans="1:18" ht="31.5" customHeight="1" outlineLevel="1">
      <c r="A64" s="48">
        <v>1</v>
      </c>
      <c r="B64" s="48" t="str">
        <f>SUBSTITUTE(CONCATENATE((_xlfn.NUMBERVALUE(B63,".")+0.0001),IF(RIGHT(B63,2)="90","00","0")),",",".")</f>
        <v>1.03110</v>
      </c>
      <c r="C64" s="55" t="s">
        <v>176</v>
      </c>
      <c r="D64" s="55" t="s">
        <v>177</v>
      </c>
      <c r="E64" s="54" t="s">
        <v>182</v>
      </c>
      <c r="F64" s="54" t="s">
        <v>183</v>
      </c>
      <c r="G64" s="48"/>
      <c r="H64" s="48"/>
      <c r="I64" s="88"/>
      <c r="J64" s="48"/>
      <c r="K64" s="48"/>
      <c r="L64" s="59" t="s">
        <v>78</v>
      </c>
      <c r="M64" s="60" t="s">
        <v>79</v>
      </c>
      <c r="N64" s="60"/>
      <c r="O64" s="10"/>
    </row>
    <row r="65" spans="1:18" ht="31.5" customHeight="1" outlineLevel="1">
      <c r="A65" s="96">
        <v>1</v>
      </c>
      <c r="B65" s="96" t="str">
        <f t="shared" ref="B65" si="3">SUBSTITUTE(CONCATENATE((_xlfn.NUMBERVALUE(B64,".")+0.0001),IF(RIGHT(B64,2)="90","00","0")),",",".")</f>
        <v>1.03120</v>
      </c>
      <c r="C65" s="97" t="s">
        <v>96</v>
      </c>
      <c r="D65" s="97" t="s">
        <v>97</v>
      </c>
      <c r="E65" s="54" t="s">
        <v>184</v>
      </c>
      <c r="F65" s="54" t="s">
        <v>185</v>
      </c>
      <c r="G65" s="48"/>
      <c r="H65" s="48"/>
      <c r="I65" s="88"/>
      <c r="J65" s="48"/>
      <c r="K65" s="48"/>
      <c r="L65" s="59" t="s">
        <v>78</v>
      </c>
      <c r="M65" s="60" t="s">
        <v>79</v>
      </c>
      <c r="N65" s="60"/>
      <c r="O65" s="10"/>
    </row>
    <row r="66" spans="1:18" ht="31.5" customHeight="1" outlineLevel="1">
      <c r="A66" s="96"/>
      <c r="B66" s="96"/>
      <c r="C66" s="97"/>
      <c r="D66" s="97"/>
      <c r="E66" s="54" t="s">
        <v>197</v>
      </c>
      <c r="F66" s="54" t="s">
        <v>198</v>
      </c>
      <c r="G66" s="48"/>
      <c r="H66" s="48"/>
      <c r="I66" s="88"/>
      <c r="J66" s="48"/>
      <c r="K66" s="48"/>
      <c r="L66" s="59" t="s">
        <v>78</v>
      </c>
      <c r="M66" s="60" t="s">
        <v>79</v>
      </c>
      <c r="N66" s="60"/>
      <c r="O66" s="10"/>
    </row>
    <row r="67" spans="1:18" ht="31.5" customHeight="1" outlineLevel="1">
      <c r="A67" s="48">
        <v>1</v>
      </c>
      <c r="B67" s="48" t="str">
        <f>SUBSTITUTE(CONCATENATE((_xlfn.NUMBERVALUE(B65,".")+0.0001),IF(RIGHT(B65,2)="90","00","0")),",",".")</f>
        <v>1.03130</v>
      </c>
      <c r="C67" s="55" t="s">
        <v>188</v>
      </c>
      <c r="D67" s="55" t="s">
        <v>189</v>
      </c>
      <c r="E67" s="54" t="s">
        <v>190</v>
      </c>
      <c r="F67" s="54" t="s">
        <v>191</v>
      </c>
      <c r="G67" s="48"/>
      <c r="H67" s="48"/>
      <c r="I67" s="88"/>
      <c r="J67" s="48"/>
      <c r="K67" s="48"/>
      <c r="L67" s="59" t="s">
        <v>78</v>
      </c>
      <c r="M67" s="60" t="s">
        <v>79</v>
      </c>
      <c r="N67" s="60"/>
      <c r="O67" s="10"/>
    </row>
    <row r="68" spans="1:18" ht="57">
      <c r="A68" s="45">
        <v>1</v>
      </c>
      <c r="B68" s="45" t="s">
        <v>199</v>
      </c>
      <c r="C68" s="50" t="s">
        <v>200</v>
      </c>
      <c r="D68" s="50" t="s">
        <v>201</v>
      </c>
      <c r="E68" s="50"/>
      <c r="F68" s="50"/>
      <c r="G68" s="50"/>
      <c r="H68" s="50"/>
      <c r="I68" s="50"/>
      <c r="J68" s="45" t="s">
        <v>163</v>
      </c>
      <c r="K68" s="50"/>
      <c r="L68" s="59" t="s">
        <v>78</v>
      </c>
      <c r="M68" s="60" t="s">
        <v>79</v>
      </c>
      <c r="N68" s="60"/>
      <c r="O68" s="10" t="s">
        <v>72</v>
      </c>
      <c r="P68" s="58"/>
      <c r="Q68" s="58"/>
      <c r="R68" s="58"/>
    </row>
    <row r="69" spans="1:18" ht="108" customHeight="1" outlineLevel="1">
      <c r="A69" s="46">
        <v>1</v>
      </c>
      <c r="B69" s="46" t="str">
        <f>SUBSTITUTE(CONCATENATE((_xlfn.NUMBERVALUE(B68,".")+0.0001),IF(RIGHT(B68,2)="90","00","0")),",",".")</f>
        <v>1.04010</v>
      </c>
      <c r="C69" s="53" t="s">
        <v>202</v>
      </c>
      <c r="D69" s="53" t="s">
        <v>203</v>
      </c>
      <c r="E69" s="76" t="s">
        <v>75</v>
      </c>
      <c r="F69" s="76" t="s">
        <v>76</v>
      </c>
      <c r="G69" s="77" t="s">
        <v>77</v>
      </c>
      <c r="H69" s="53"/>
      <c r="I69" s="53"/>
      <c r="J69" s="46"/>
      <c r="K69" s="53"/>
      <c r="L69" s="59" t="s">
        <v>78</v>
      </c>
      <c r="M69" s="60" t="s">
        <v>79</v>
      </c>
      <c r="N69" s="60"/>
      <c r="O69" s="10" t="s">
        <v>72</v>
      </c>
      <c r="P69" s="58"/>
      <c r="Q69" s="58"/>
      <c r="R69" s="58"/>
    </row>
    <row r="70" spans="1:18" ht="42.75" outlineLevel="1">
      <c r="A70" s="48">
        <v>1</v>
      </c>
      <c r="B70" s="48" t="str">
        <f>SUBSTITUTE(CONCATENATE((_xlfn.NUMBERVALUE(B69,".")+0.0001),IF(RIGHT(B69,2)="90","00","0")),",",".")</f>
        <v>1.04020</v>
      </c>
      <c r="C70" s="55" t="s">
        <v>204</v>
      </c>
      <c r="D70" s="55" t="s">
        <v>205</v>
      </c>
      <c r="E70" s="54" t="s">
        <v>86</v>
      </c>
      <c r="F70" s="54" t="s">
        <v>87</v>
      </c>
      <c r="G70" s="48"/>
      <c r="H70" s="88"/>
      <c r="I70" s="48"/>
      <c r="J70" s="48"/>
      <c r="K70" s="48"/>
      <c r="L70" s="59" t="s">
        <v>78</v>
      </c>
      <c r="M70" s="60" t="s">
        <v>79</v>
      </c>
      <c r="N70" s="60"/>
      <c r="O70" s="10" t="s">
        <v>168</v>
      </c>
    </row>
    <row r="71" spans="1:18" ht="28.5" customHeight="1" outlineLevel="1">
      <c r="A71" s="96">
        <v>1</v>
      </c>
      <c r="B71" s="96" t="str">
        <f t="shared" ref="B71" si="4">SUBSTITUTE(CONCATENATE((_xlfn.NUMBERVALUE(B70,".")+0.0001),IF(RIGHT(B70,2)="90","00","0")),",",".")</f>
        <v>1.04030</v>
      </c>
      <c r="C71" s="97" t="s">
        <v>206</v>
      </c>
      <c r="D71" s="97" t="s">
        <v>207</v>
      </c>
      <c r="E71" s="54" t="s">
        <v>171</v>
      </c>
      <c r="F71" s="54" t="s">
        <v>172</v>
      </c>
      <c r="G71" s="48"/>
      <c r="H71" s="88"/>
      <c r="I71" s="48"/>
      <c r="J71" s="48"/>
      <c r="K71" s="48"/>
      <c r="L71" s="59" t="s">
        <v>78</v>
      </c>
      <c r="M71" s="60" t="s">
        <v>79</v>
      </c>
      <c r="N71" s="60"/>
      <c r="O71" s="10" t="s">
        <v>168</v>
      </c>
    </row>
    <row r="72" spans="1:18" ht="42.75" outlineLevel="1">
      <c r="A72" s="96"/>
      <c r="B72" s="96"/>
      <c r="C72" s="97"/>
      <c r="D72" s="97"/>
      <c r="E72" s="54" t="s">
        <v>208</v>
      </c>
      <c r="F72" s="54" t="s">
        <v>209</v>
      </c>
      <c r="G72" s="48" t="s">
        <v>196</v>
      </c>
      <c r="H72" s="48"/>
      <c r="I72" s="48"/>
      <c r="J72" s="48"/>
      <c r="K72" s="48"/>
      <c r="L72" s="59" t="s">
        <v>115</v>
      </c>
      <c r="M72" s="60"/>
      <c r="N72" s="60"/>
      <c r="O72" s="10"/>
    </row>
    <row r="73" spans="1:18" ht="28.5" outlineLevel="1">
      <c r="A73" s="48">
        <v>1</v>
      </c>
      <c r="B73" s="48" t="str">
        <f>SUBSTITUTE(CONCATENATE((_xlfn.NUMBERVALUE(B71,".")+0.0001),IF(RIGHT(B71,2)="90","00","0")),",",".")</f>
        <v>1.04040</v>
      </c>
      <c r="C73" s="55" t="s">
        <v>210</v>
      </c>
      <c r="D73" s="55" t="s">
        <v>211</v>
      </c>
      <c r="E73" s="54" t="s">
        <v>178</v>
      </c>
      <c r="F73" s="54" t="s">
        <v>179</v>
      </c>
      <c r="G73" s="48"/>
      <c r="H73" s="88"/>
      <c r="I73" s="48"/>
      <c r="J73" s="48"/>
      <c r="K73" s="48"/>
      <c r="L73" s="59" t="s">
        <v>78</v>
      </c>
      <c r="M73" s="60" t="s">
        <v>79</v>
      </c>
      <c r="N73" s="60"/>
      <c r="O73" s="10" t="s">
        <v>168</v>
      </c>
    </row>
    <row r="74" spans="1:18" ht="28.5" outlineLevel="1">
      <c r="A74" s="48">
        <v>1</v>
      </c>
      <c r="B74" s="48" t="str">
        <f>SUBSTITUTE(CONCATENATE((_xlfn.NUMBERVALUE(B73,".")+0.0001),IF(RIGHT(B73,2)="90","00","0")),",",".")</f>
        <v>1.04050</v>
      </c>
      <c r="C74" s="55" t="s">
        <v>212</v>
      </c>
      <c r="D74" s="55" t="s">
        <v>213</v>
      </c>
      <c r="E74" s="54" t="s">
        <v>182</v>
      </c>
      <c r="F74" s="54" t="s">
        <v>183</v>
      </c>
      <c r="G74" s="48"/>
      <c r="H74" s="88"/>
      <c r="I74" s="48"/>
      <c r="J74" s="48"/>
      <c r="K74" s="48"/>
      <c r="L74" s="59" t="s">
        <v>78</v>
      </c>
      <c r="M74" s="60" t="s">
        <v>79</v>
      </c>
      <c r="N74" s="60"/>
      <c r="O74" s="10" t="s">
        <v>168</v>
      </c>
    </row>
    <row r="75" spans="1:18" ht="21" customHeight="1" outlineLevel="1">
      <c r="A75" s="96">
        <v>1</v>
      </c>
      <c r="B75" s="96" t="str">
        <f>SUBSTITUTE(CONCATENATE((_xlfn.NUMBERVALUE(B74,".")+0.0001),IF(RIGHT(B74,2)="90","00","0")),",",".")</f>
        <v>1.04060</v>
      </c>
      <c r="C75" s="92" t="s">
        <v>96</v>
      </c>
      <c r="D75" s="92" t="s">
        <v>97</v>
      </c>
      <c r="E75" s="54" t="s">
        <v>184</v>
      </c>
      <c r="F75" s="54" t="s">
        <v>185</v>
      </c>
      <c r="G75" s="48"/>
      <c r="H75" s="88"/>
      <c r="I75" s="48"/>
      <c r="J75" s="48"/>
      <c r="K75" s="48"/>
      <c r="L75" s="59" t="s">
        <v>78</v>
      </c>
      <c r="M75" s="60" t="s">
        <v>79</v>
      </c>
      <c r="N75" s="60"/>
      <c r="O75" s="10" t="s">
        <v>168</v>
      </c>
    </row>
    <row r="76" spans="1:18" ht="22.5" customHeight="1" outlineLevel="1">
      <c r="A76" s="96"/>
      <c r="B76" s="96"/>
      <c r="C76" s="93"/>
      <c r="D76" s="93"/>
      <c r="E76" s="54" t="s">
        <v>186</v>
      </c>
      <c r="F76" s="54" t="s">
        <v>187</v>
      </c>
      <c r="G76" s="48"/>
      <c r="H76" s="88"/>
      <c r="I76" s="48"/>
      <c r="J76" s="48"/>
      <c r="K76" s="48"/>
      <c r="L76" s="59" t="s">
        <v>78</v>
      </c>
      <c r="M76" s="60" t="s">
        <v>79</v>
      </c>
      <c r="N76" s="60"/>
      <c r="O76" s="10" t="s">
        <v>168</v>
      </c>
    </row>
    <row r="77" spans="1:18" ht="42.75" outlineLevel="1">
      <c r="A77" s="48">
        <v>1</v>
      </c>
      <c r="B77" s="48" t="str">
        <f>SUBSTITUTE(CONCATENATE((_xlfn.NUMBERVALUE(B75,".")+0.0001),IF(RIGHT(B75,2)="90","00","0")),",",".")</f>
        <v>1.04070</v>
      </c>
      <c r="C77" s="55" t="s">
        <v>214</v>
      </c>
      <c r="D77" s="55" t="s">
        <v>215</v>
      </c>
      <c r="E77" s="54" t="s">
        <v>190</v>
      </c>
      <c r="F77" s="54" t="s">
        <v>191</v>
      </c>
      <c r="G77" s="48"/>
      <c r="H77" s="88"/>
      <c r="I77" s="48"/>
      <c r="J77" s="48"/>
      <c r="K77" s="48"/>
      <c r="L77" s="59" t="s">
        <v>78</v>
      </c>
      <c r="M77" s="60" t="s">
        <v>79</v>
      </c>
      <c r="N77" s="60"/>
      <c r="O77" s="10"/>
    </row>
    <row r="78" spans="1:18" ht="31.5" customHeight="1" outlineLevel="1">
      <c r="A78" s="48">
        <v>1</v>
      </c>
      <c r="B78" s="48" t="str">
        <f>SUBSTITUTE(CONCATENATE((_xlfn.NUMBERVALUE(B77,".")+0.0001),IF(RIGHT(B77,2)="90","00","0")),",",".")</f>
        <v>1.04080</v>
      </c>
      <c r="C78" s="55" t="s">
        <v>216</v>
      </c>
      <c r="D78" s="55" t="s">
        <v>217</v>
      </c>
      <c r="E78" s="54" t="s">
        <v>110</v>
      </c>
      <c r="F78" s="54" t="s">
        <v>111</v>
      </c>
      <c r="G78" s="48"/>
      <c r="H78" s="88"/>
      <c r="I78" s="48"/>
      <c r="J78" s="48"/>
      <c r="K78" s="48"/>
      <c r="L78" s="59" t="s">
        <v>78</v>
      </c>
      <c r="M78" s="60" t="s">
        <v>79</v>
      </c>
      <c r="N78" s="60"/>
      <c r="O78" s="10"/>
    </row>
    <row r="79" spans="1:18" ht="31.5" customHeight="1" outlineLevel="1">
      <c r="A79" s="96">
        <v>1</v>
      </c>
      <c r="B79" s="96" t="str">
        <f>SUBSTITUTE(CONCATENATE((_xlfn.NUMBERVALUE(B78,".")+0.0001),IF(RIGHT(B78,2)="90","00","0")),",",".")</f>
        <v>1.04090</v>
      </c>
      <c r="C79" s="97" t="s">
        <v>206</v>
      </c>
      <c r="D79" s="97" t="s">
        <v>207</v>
      </c>
      <c r="E79" s="54" t="s">
        <v>194</v>
      </c>
      <c r="F79" s="54" t="s">
        <v>195</v>
      </c>
      <c r="G79" s="48"/>
      <c r="H79" s="88"/>
      <c r="I79" s="48"/>
      <c r="J79" s="48"/>
      <c r="K79" s="48"/>
      <c r="L79" s="59" t="s">
        <v>78</v>
      </c>
      <c r="M79" s="60" t="s">
        <v>79</v>
      </c>
      <c r="N79" s="60"/>
      <c r="O79" s="10"/>
    </row>
    <row r="80" spans="1:18" ht="31.5" customHeight="1" outlineLevel="1">
      <c r="A80" s="96"/>
      <c r="B80" s="96"/>
      <c r="C80" s="97"/>
      <c r="D80" s="97"/>
      <c r="E80" s="54" t="s">
        <v>208</v>
      </c>
      <c r="F80" s="54" t="s">
        <v>209</v>
      </c>
      <c r="G80" s="48" t="s">
        <v>175</v>
      </c>
      <c r="H80" s="48"/>
      <c r="I80" s="48"/>
      <c r="J80" s="48"/>
      <c r="K80" s="48"/>
      <c r="L80" s="59" t="s">
        <v>115</v>
      </c>
      <c r="M80" s="60"/>
      <c r="N80" s="60"/>
      <c r="O80" s="10"/>
    </row>
    <row r="81" spans="1:15" ht="31.5" customHeight="1" outlineLevel="1">
      <c r="A81" s="48">
        <v>1</v>
      </c>
      <c r="B81" s="48" t="str">
        <f>SUBSTITUTE(CONCATENATE((_xlfn.NUMBERVALUE(B79,".")+0.0001),IF(RIGHT(B79,2)="90","00","0")),",",".")</f>
        <v>1.04100</v>
      </c>
      <c r="C81" s="55" t="s">
        <v>218</v>
      </c>
      <c r="D81" s="55" t="s">
        <v>213</v>
      </c>
      <c r="E81" s="54" t="s">
        <v>178</v>
      </c>
      <c r="F81" s="54" t="s">
        <v>179</v>
      </c>
      <c r="G81" s="48"/>
      <c r="H81" s="87"/>
      <c r="I81" s="48"/>
      <c r="J81" s="48"/>
      <c r="K81" s="48"/>
      <c r="L81" s="59" t="s">
        <v>78</v>
      </c>
      <c r="M81" s="60" t="s">
        <v>79</v>
      </c>
      <c r="N81" s="60"/>
      <c r="O81" s="10"/>
    </row>
    <row r="82" spans="1:15" ht="31.5" customHeight="1" outlineLevel="1">
      <c r="A82" s="48">
        <v>1</v>
      </c>
      <c r="B82" s="48" t="str">
        <f>SUBSTITUTE(CONCATENATE((_xlfn.NUMBERVALUE(B81,".")+0.0001),IF(RIGHT(B81,2)="90","00","0")),",",".")</f>
        <v>1.04110</v>
      </c>
      <c r="C82" s="55" t="s">
        <v>210</v>
      </c>
      <c r="D82" s="55" t="s">
        <v>211</v>
      </c>
      <c r="E82" s="54" t="s">
        <v>182</v>
      </c>
      <c r="F82" s="54" t="s">
        <v>183</v>
      </c>
      <c r="G82" s="48"/>
      <c r="H82" s="87"/>
      <c r="I82" s="48"/>
      <c r="J82" s="48"/>
      <c r="K82" s="48"/>
      <c r="L82" s="59" t="s">
        <v>78</v>
      </c>
      <c r="M82" s="60" t="s">
        <v>79</v>
      </c>
      <c r="N82" s="60"/>
      <c r="O82" s="10"/>
    </row>
    <row r="83" spans="1:15" ht="31.5" customHeight="1" outlineLevel="1">
      <c r="A83" s="89">
        <v>1</v>
      </c>
      <c r="B83" s="89" t="str">
        <f t="shared" ref="B83" si="5">SUBSTITUTE(CONCATENATE((_xlfn.NUMBERVALUE(B82,".")+0.0001),IF(RIGHT(B82,2)="90","00","0")),",",".")</f>
        <v>1.04120</v>
      </c>
      <c r="C83" s="92" t="s">
        <v>96</v>
      </c>
      <c r="D83" s="92" t="s">
        <v>97</v>
      </c>
      <c r="E83" s="54" t="s">
        <v>184</v>
      </c>
      <c r="F83" s="54" t="s">
        <v>185</v>
      </c>
      <c r="G83" s="48"/>
      <c r="H83" s="87"/>
      <c r="I83" s="48"/>
      <c r="J83" s="48"/>
      <c r="K83" s="48"/>
      <c r="L83" s="59" t="s">
        <v>78</v>
      </c>
      <c r="M83" s="60" t="s">
        <v>79</v>
      </c>
      <c r="N83" s="60"/>
      <c r="O83" s="10"/>
    </row>
    <row r="84" spans="1:15" ht="31.5" customHeight="1" outlineLevel="1">
      <c r="A84" s="91"/>
      <c r="B84" s="91"/>
      <c r="C84" s="93"/>
      <c r="D84" s="93"/>
      <c r="E84" s="54" t="s">
        <v>197</v>
      </c>
      <c r="F84" s="54" t="s">
        <v>198</v>
      </c>
      <c r="G84" s="48"/>
      <c r="H84" s="87"/>
      <c r="I84" s="48"/>
      <c r="J84" s="48"/>
      <c r="K84" s="48"/>
      <c r="L84" s="59" t="s">
        <v>78</v>
      </c>
      <c r="M84" s="60" t="s">
        <v>79</v>
      </c>
      <c r="N84" s="60"/>
      <c r="O84" s="10"/>
    </row>
    <row r="85" spans="1:15" ht="31.5" customHeight="1" outlineLevel="1">
      <c r="A85" s="48">
        <v>1</v>
      </c>
      <c r="B85" s="48" t="str">
        <f>SUBSTITUTE(CONCATENATE((_xlfn.NUMBERVALUE(B83,".")+0.0001),IF(RIGHT(B83,2)="90","00","0")),",",".")</f>
        <v>1.04130</v>
      </c>
      <c r="C85" s="55" t="s">
        <v>214</v>
      </c>
      <c r="D85" s="55" t="s">
        <v>215</v>
      </c>
      <c r="E85" s="54" t="s">
        <v>190</v>
      </c>
      <c r="F85" s="54" t="s">
        <v>191</v>
      </c>
      <c r="G85" s="48"/>
      <c r="H85" s="87"/>
      <c r="I85" s="48"/>
      <c r="J85" s="48"/>
      <c r="K85" s="48"/>
      <c r="L85" s="59" t="s">
        <v>78</v>
      </c>
      <c r="M85" s="60" t="s">
        <v>79</v>
      </c>
      <c r="N85" s="60"/>
      <c r="O85" s="10"/>
    </row>
    <row r="86" spans="1:15" ht="28.5">
      <c r="A86" s="45">
        <v>1</v>
      </c>
      <c r="B86" s="45" t="s">
        <v>219</v>
      </c>
      <c r="C86" s="50" t="s">
        <v>220</v>
      </c>
      <c r="D86" s="50" t="s">
        <v>221</v>
      </c>
      <c r="E86" s="50"/>
      <c r="F86" s="50"/>
      <c r="G86" s="45"/>
      <c r="H86" s="45"/>
      <c r="I86" s="45"/>
      <c r="J86" s="45" t="s">
        <v>222</v>
      </c>
      <c r="K86" s="45"/>
      <c r="L86" s="57" t="s">
        <v>150</v>
      </c>
      <c r="M86" s="57"/>
      <c r="N86" s="60"/>
      <c r="O86" s="10" t="s">
        <v>72</v>
      </c>
    </row>
    <row r="87" spans="1:15" ht="85.5" outlineLevel="1">
      <c r="A87" s="46">
        <v>1</v>
      </c>
      <c r="B87" s="46" t="str">
        <f>SUBSTITUTE(CONCATENATE((_xlfn.NUMBERVALUE(B86,".")+0.0001),IF(RIGHT(B86,2)="90","00","0")),",",".")</f>
        <v>1.05010</v>
      </c>
      <c r="C87" s="53" t="s">
        <v>223</v>
      </c>
      <c r="D87" s="53" t="s">
        <v>224</v>
      </c>
      <c r="E87" s="53"/>
      <c r="F87" s="53"/>
      <c r="G87" s="46"/>
      <c r="H87" s="46"/>
      <c r="I87" s="46"/>
      <c r="J87" s="46"/>
      <c r="K87" s="46"/>
      <c r="L87" s="59" t="s">
        <v>115</v>
      </c>
      <c r="M87" s="60"/>
      <c r="N87" s="60"/>
      <c r="O87" s="10"/>
    </row>
    <row r="88" spans="1:15" ht="42.75" outlineLevel="1">
      <c r="A88" s="48">
        <v>1</v>
      </c>
      <c r="B88" s="48" t="str">
        <f t="shared" ref="B88:B98" si="6">SUBSTITUTE(CONCATENATE((_xlfn.NUMBERVALUE(B87,".")+0.0001),IF(RIGHT(B87,2)="90","00","0")),",",".")</f>
        <v>1.05020</v>
      </c>
      <c r="C88" s="55" t="s">
        <v>225</v>
      </c>
      <c r="D88" s="55" t="s">
        <v>226</v>
      </c>
      <c r="E88" s="54" t="s">
        <v>227</v>
      </c>
      <c r="F88" s="54" t="s">
        <v>228</v>
      </c>
      <c r="G88" s="48" t="s">
        <v>229</v>
      </c>
      <c r="H88" s="48"/>
      <c r="I88" s="48"/>
      <c r="J88" s="48"/>
      <c r="K88" s="48"/>
      <c r="L88" s="59" t="s">
        <v>115</v>
      </c>
      <c r="M88" s="60"/>
      <c r="N88" s="60"/>
      <c r="O88" s="10"/>
    </row>
    <row r="89" spans="1:15" ht="42.75" outlineLevel="1">
      <c r="A89" s="48">
        <v>1</v>
      </c>
      <c r="B89" s="48" t="str">
        <f t="shared" si="6"/>
        <v>1.05030</v>
      </c>
      <c r="C89" s="55" t="s">
        <v>230</v>
      </c>
      <c r="D89" s="55" t="s">
        <v>231</v>
      </c>
      <c r="E89" s="54" t="s">
        <v>232</v>
      </c>
      <c r="F89" s="54" t="s">
        <v>233</v>
      </c>
      <c r="G89" s="48"/>
      <c r="H89" s="48"/>
      <c r="I89" s="48"/>
      <c r="J89" s="48"/>
      <c r="K89" s="48"/>
      <c r="L89" s="59" t="s">
        <v>115</v>
      </c>
      <c r="M89" s="60"/>
      <c r="N89" s="60"/>
      <c r="O89" s="10"/>
    </row>
    <row r="90" spans="1:15" s="54" customFormat="1" ht="42.75" outlineLevel="1">
      <c r="A90" s="48">
        <v>1</v>
      </c>
      <c r="B90" s="48" t="str">
        <f t="shared" si="6"/>
        <v>1.05040</v>
      </c>
      <c r="C90" s="55" t="s">
        <v>234</v>
      </c>
      <c r="D90" s="55" t="s">
        <v>235</v>
      </c>
      <c r="E90" s="54" t="s">
        <v>227</v>
      </c>
      <c r="F90" s="54" t="s">
        <v>228</v>
      </c>
      <c r="G90" s="48" t="s">
        <v>236</v>
      </c>
      <c r="H90" s="48"/>
      <c r="I90" s="48"/>
      <c r="J90" s="48"/>
      <c r="K90" s="48"/>
      <c r="L90" s="59" t="s">
        <v>115</v>
      </c>
      <c r="M90" s="64"/>
      <c r="N90" s="60"/>
      <c r="O90" s="48" t="s">
        <v>237</v>
      </c>
    </row>
    <row r="91" spans="1:15" ht="42.75" outlineLevel="1">
      <c r="A91" s="48">
        <v>1</v>
      </c>
      <c r="B91" s="48" t="str">
        <f t="shared" si="6"/>
        <v>1.05050</v>
      </c>
      <c r="C91" s="55" t="s">
        <v>238</v>
      </c>
      <c r="D91" s="55" t="s">
        <v>239</v>
      </c>
      <c r="E91" s="54" t="s">
        <v>232</v>
      </c>
      <c r="F91" s="54" t="s">
        <v>233</v>
      </c>
      <c r="G91" s="48"/>
      <c r="H91" s="48"/>
      <c r="I91" s="48"/>
      <c r="J91" s="48"/>
      <c r="K91" s="48"/>
      <c r="L91" s="59" t="s">
        <v>115</v>
      </c>
      <c r="M91" s="60"/>
      <c r="N91" s="60"/>
      <c r="O91" s="10"/>
    </row>
    <row r="92" spans="1:15" ht="42.75" outlineLevel="1">
      <c r="A92" s="48">
        <v>1</v>
      </c>
      <c r="B92" s="48" t="str">
        <f t="shared" si="6"/>
        <v>1.05060</v>
      </c>
      <c r="C92" s="55" t="s">
        <v>240</v>
      </c>
      <c r="D92" s="55" t="s">
        <v>241</v>
      </c>
      <c r="E92" s="54" t="s">
        <v>227</v>
      </c>
      <c r="F92" s="54" t="s">
        <v>228</v>
      </c>
      <c r="G92" s="48" t="s">
        <v>242</v>
      </c>
      <c r="H92" s="48"/>
      <c r="I92" s="48"/>
      <c r="J92" s="48"/>
      <c r="K92" s="48"/>
      <c r="L92" s="59" t="s">
        <v>115</v>
      </c>
      <c r="M92" s="60"/>
      <c r="N92" s="60"/>
      <c r="O92" s="10"/>
    </row>
    <row r="93" spans="1:15" ht="42.75" outlineLevel="1">
      <c r="A93" s="48">
        <v>1</v>
      </c>
      <c r="B93" s="48" t="str">
        <f t="shared" si="6"/>
        <v>1.05070</v>
      </c>
      <c r="C93" s="55" t="s">
        <v>243</v>
      </c>
      <c r="D93" s="55" t="s">
        <v>244</v>
      </c>
      <c r="E93" s="54" t="s">
        <v>227</v>
      </c>
      <c r="F93" s="54" t="s">
        <v>228</v>
      </c>
      <c r="G93" s="48" t="s">
        <v>242</v>
      </c>
      <c r="H93" s="48"/>
      <c r="I93" s="48"/>
      <c r="J93" s="48"/>
      <c r="K93" s="48"/>
      <c r="L93" s="59" t="s">
        <v>115</v>
      </c>
      <c r="M93" s="60"/>
      <c r="N93" s="60"/>
      <c r="O93" s="10"/>
    </row>
    <row r="94" spans="1:15" ht="28.5" outlineLevel="1">
      <c r="A94" s="48">
        <v>1</v>
      </c>
      <c r="B94" s="48" t="str">
        <f t="shared" si="6"/>
        <v>1.05080</v>
      </c>
      <c r="C94" s="55" t="s">
        <v>245</v>
      </c>
      <c r="D94" s="55" t="s">
        <v>246</v>
      </c>
      <c r="E94" s="54" t="s">
        <v>232</v>
      </c>
      <c r="F94" s="54" t="s">
        <v>233</v>
      </c>
      <c r="G94" s="48"/>
      <c r="H94" s="48"/>
      <c r="I94" s="48"/>
      <c r="J94" s="48"/>
      <c r="K94" s="48"/>
      <c r="L94" s="59" t="s">
        <v>115</v>
      </c>
      <c r="M94" s="60"/>
      <c r="N94" s="60"/>
      <c r="O94" s="10"/>
    </row>
    <row r="95" spans="1:15" ht="42.75" outlineLevel="1">
      <c r="A95" s="48">
        <v>1</v>
      </c>
      <c r="B95" s="48" t="str">
        <f t="shared" si="6"/>
        <v>1.05090</v>
      </c>
      <c r="C95" s="55" t="s">
        <v>247</v>
      </c>
      <c r="D95" s="55" t="s">
        <v>248</v>
      </c>
      <c r="E95" s="54" t="s">
        <v>227</v>
      </c>
      <c r="F95" s="54" t="s">
        <v>228</v>
      </c>
      <c r="G95" s="48" t="s">
        <v>249</v>
      </c>
      <c r="H95" s="48"/>
      <c r="I95" s="48"/>
      <c r="J95" s="48"/>
      <c r="K95" s="48"/>
      <c r="L95" s="59" t="s">
        <v>115</v>
      </c>
      <c r="M95" s="60"/>
      <c r="N95" s="60"/>
      <c r="O95" s="10"/>
    </row>
    <row r="96" spans="1:15" ht="42.75" outlineLevel="1">
      <c r="A96" s="48">
        <v>1</v>
      </c>
      <c r="B96" s="48" t="str">
        <f t="shared" si="6"/>
        <v>1.05100</v>
      </c>
      <c r="C96" s="55" t="s">
        <v>250</v>
      </c>
      <c r="D96" s="55" t="s">
        <v>251</v>
      </c>
      <c r="E96" s="54" t="s">
        <v>227</v>
      </c>
      <c r="F96" s="54" t="s">
        <v>228</v>
      </c>
      <c r="G96" s="48" t="s">
        <v>249</v>
      </c>
      <c r="H96" s="48"/>
      <c r="I96" s="48"/>
      <c r="J96" s="48"/>
      <c r="K96" s="48"/>
      <c r="L96" s="59" t="s">
        <v>115</v>
      </c>
      <c r="M96" s="60"/>
      <c r="N96" s="60"/>
      <c r="O96" s="10"/>
    </row>
    <row r="97" spans="1:15" ht="42.75" outlineLevel="1">
      <c r="A97" s="48">
        <v>1</v>
      </c>
      <c r="B97" s="48" t="str">
        <f t="shared" si="6"/>
        <v>1.05110</v>
      </c>
      <c r="C97" s="55" t="s">
        <v>252</v>
      </c>
      <c r="D97" s="55" t="s">
        <v>253</v>
      </c>
      <c r="E97" s="54" t="s">
        <v>227</v>
      </c>
      <c r="F97" s="54" t="s">
        <v>228</v>
      </c>
      <c r="G97" s="48" t="s">
        <v>249</v>
      </c>
      <c r="H97" s="48"/>
      <c r="I97" s="48"/>
      <c r="J97" s="48"/>
      <c r="K97" s="48"/>
      <c r="L97" s="59" t="s">
        <v>115</v>
      </c>
      <c r="M97" s="60"/>
      <c r="N97" s="60"/>
      <c r="O97" s="10"/>
    </row>
    <row r="98" spans="1:15" ht="28.5" outlineLevel="1">
      <c r="A98" s="48">
        <v>1</v>
      </c>
      <c r="B98" s="48" t="str">
        <f t="shared" si="6"/>
        <v>1.05120</v>
      </c>
      <c r="C98" s="55" t="s">
        <v>254</v>
      </c>
      <c r="D98" s="55" t="s">
        <v>255</v>
      </c>
      <c r="E98" s="54" t="s">
        <v>232</v>
      </c>
      <c r="F98" s="54" t="s">
        <v>233</v>
      </c>
      <c r="G98" s="48"/>
      <c r="H98" s="48"/>
      <c r="I98" s="48"/>
      <c r="J98" s="48"/>
      <c r="K98" s="48"/>
      <c r="L98" s="59" t="s">
        <v>115</v>
      </c>
      <c r="M98" s="60"/>
      <c r="N98" s="60"/>
      <c r="O98" s="10"/>
    </row>
    <row r="99" spans="1:15" s="52" customFormat="1" ht="15.75">
      <c r="A99" s="49">
        <v>2</v>
      </c>
      <c r="B99" s="47">
        <v>2</v>
      </c>
      <c r="C99" s="65" t="s">
        <v>256</v>
      </c>
      <c r="D99" s="65" t="s">
        <v>257</v>
      </c>
      <c r="E99" s="66"/>
      <c r="F99" s="66"/>
      <c r="G99" s="47"/>
      <c r="H99" s="47"/>
      <c r="I99" s="47"/>
      <c r="J99" s="47"/>
      <c r="K99" s="47"/>
      <c r="L99" s="57" t="s">
        <v>64</v>
      </c>
      <c r="M99" s="57"/>
      <c r="N99" s="60"/>
      <c r="O99" s="47" t="s">
        <v>258</v>
      </c>
    </row>
    <row r="100" spans="1:15" ht="42.75">
      <c r="A100" s="45">
        <v>2</v>
      </c>
      <c r="B100" s="45" t="s">
        <v>259</v>
      </c>
      <c r="C100" s="50" t="s">
        <v>260</v>
      </c>
      <c r="D100" s="50" t="s">
        <v>261</v>
      </c>
      <c r="E100" s="50"/>
      <c r="F100" s="50"/>
      <c r="G100" s="45"/>
      <c r="H100" s="45"/>
      <c r="I100" s="45"/>
      <c r="J100" s="45"/>
      <c r="K100" s="45"/>
      <c r="L100" s="57" t="s">
        <v>64</v>
      </c>
      <c r="M100" s="57"/>
      <c r="N100" s="60"/>
      <c r="O100" s="10" t="s">
        <v>72</v>
      </c>
    </row>
    <row r="101" spans="1:15" s="53" customFormat="1" ht="92.25" customHeight="1" outlineLevel="1">
      <c r="A101" s="46">
        <v>2</v>
      </c>
      <c r="B101" s="46" t="str">
        <f t="shared" ref="B101:B115" si="7">SUBSTITUTE(CONCATENATE((_xlfn.NUMBERVALUE(B100,".")+0.0001),IF(RIGHT(B100,2)="90","00","0")),",",".")</f>
        <v>2.01010</v>
      </c>
      <c r="C101" s="53" t="s">
        <v>262</v>
      </c>
      <c r="D101" s="53" t="s">
        <v>263</v>
      </c>
      <c r="G101" s="46"/>
      <c r="H101" s="46"/>
      <c r="I101" s="46"/>
      <c r="J101" s="46"/>
      <c r="K101" s="46"/>
      <c r="L101" s="59" t="s">
        <v>78</v>
      </c>
      <c r="M101" s="60"/>
      <c r="N101" s="60"/>
      <c r="O101" s="46"/>
    </row>
    <row r="102" spans="1:15" ht="42.75" outlineLevel="1">
      <c r="A102" s="48">
        <v>2</v>
      </c>
      <c r="B102" s="48" t="str">
        <f t="shared" si="7"/>
        <v>2.01020</v>
      </c>
      <c r="C102" s="55" t="s">
        <v>264</v>
      </c>
      <c r="D102" s="55" t="s">
        <v>265</v>
      </c>
      <c r="E102" s="54" t="s">
        <v>266</v>
      </c>
      <c r="F102" s="54" t="s">
        <v>267</v>
      </c>
      <c r="G102" s="48"/>
      <c r="H102" s="48"/>
      <c r="I102" s="48"/>
      <c r="J102" s="48"/>
      <c r="K102" s="48"/>
      <c r="L102" s="59" t="s">
        <v>78</v>
      </c>
      <c r="M102" s="60"/>
      <c r="N102" s="60"/>
      <c r="O102" s="10"/>
    </row>
    <row r="103" spans="1:15" ht="42.75" outlineLevel="1">
      <c r="A103" s="48">
        <v>2</v>
      </c>
      <c r="B103" s="48" t="str">
        <f t="shared" si="7"/>
        <v>2.01030</v>
      </c>
      <c r="C103" s="55" t="s">
        <v>268</v>
      </c>
      <c r="D103" s="55" t="s">
        <v>269</v>
      </c>
      <c r="E103" s="54" t="s">
        <v>270</v>
      </c>
      <c r="F103" s="54" t="s">
        <v>271</v>
      </c>
      <c r="G103" s="48"/>
      <c r="H103" s="48"/>
      <c r="I103" s="48"/>
      <c r="J103" s="48"/>
      <c r="K103" s="48"/>
      <c r="L103" s="59" t="s">
        <v>78</v>
      </c>
      <c r="M103" s="60"/>
      <c r="N103" s="60"/>
      <c r="O103" s="10"/>
    </row>
    <row r="104" spans="1:15" ht="42.75" outlineLevel="1">
      <c r="A104" s="48">
        <v>2</v>
      </c>
      <c r="B104" s="48" t="str">
        <f t="shared" si="7"/>
        <v>2.01040</v>
      </c>
      <c r="C104" s="55" t="s">
        <v>272</v>
      </c>
      <c r="D104" s="55" t="s">
        <v>273</v>
      </c>
      <c r="E104" s="54" t="s">
        <v>274</v>
      </c>
      <c r="F104" s="54" t="s">
        <v>267</v>
      </c>
      <c r="G104" s="48"/>
      <c r="H104" s="48"/>
      <c r="I104" s="48"/>
      <c r="J104" s="48"/>
      <c r="K104" s="48"/>
      <c r="L104" s="59" t="s">
        <v>78</v>
      </c>
      <c r="M104" s="60"/>
      <c r="N104" s="60"/>
      <c r="O104" s="10"/>
    </row>
    <row r="105" spans="1:15" ht="22.5" customHeight="1" outlineLevel="1">
      <c r="A105" s="48">
        <v>2</v>
      </c>
      <c r="B105" s="48" t="str">
        <f t="shared" si="7"/>
        <v>2.01050</v>
      </c>
      <c r="C105" s="55" t="s">
        <v>275</v>
      </c>
      <c r="D105" s="55" t="s">
        <v>276</v>
      </c>
      <c r="E105" s="54" t="s">
        <v>277</v>
      </c>
      <c r="F105" s="54" t="s">
        <v>278</v>
      </c>
      <c r="G105" s="48"/>
      <c r="H105" s="48"/>
      <c r="I105" s="48"/>
      <c r="J105" s="48"/>
      <c r="K105" s="48"/>
      <c r="L105" s="59" t="s">
        <v>78</v>
      </c>
      <c r="M105" s="60"/>
      <c r="N105" s="60"/>
      <c r="O105" s="10"/>
    </row>
    <row r="106" spans="1:15" ht="42.75" outlineLevel="1">
      <c r="A106" s="48">
        <v>2</v>
      </c>
      <c r="B106" s="48" t="str">
        <f t="shared" si="7"/>
        <v>2.01060</v>
      </c>
      <c r="C106" s="55" t="s">
        <v>279</v>
      </c>
      <c r="D106" s="55" t="s">
        <v>280</v>
      </c>
      <c r="E106" s="54" t="s">
        <v>266</v>
      </c>
      <c r="F106" s="54" t="s">
        <v>267</v>
      </c>
      <c r="G106" s="48"/>
      <c r="H106" s="48"/>
      <c r="I106" s="48"/>
      <c r="J106" s="48"/>
      <c r="K106" s="48"/>
      <c r="L106" s="59" t="s">
        <v>78</v>
      </c>
      <c r="M106" s="60"/>
      <c r="N106" s="60"/>
      <c r="O106" s="10"/>
    </row>
    <row r="107" spans="1:15" ht="20.25" customHeight="1" outlineLevel="1">
      <c r="A107" s="48">
        <v>2</v>
      </c>
      <c r="B107" s="48" t="str">
        <f t="shared" si="7"/>
        <v>2.01070</v>
      </c>
      <c r="C107" s="55" t="s">
        <v>281</v>
      </c>
      <c r="D107" s="55" t="s">
        <v>282</v>
      </c>
      <c r="E107" s="54" t="s">
        <v>277</v>
      </c>
      <c r="F107" s="54" t="s">
        <v>278</v>
      </c>
      <c r="G107" s="48"/>
      <c r="H107" s="48"/>
      <c r="I107" s="48"/>
      <c r="J107" s="48"/>
      <c r="K107" s="48"/>
      <c r="L107" s="59" t="s">
        <v>78</v>
      </c>
      <c r="M107" s="60"/>
      <c r="N107" s="60"/>
      <c r="O107" s="10"/>
    </row>
    <row r="108" spans="1:15" ht="42.75">
      <c r="A108" s="45">
        <v>2</v>
      </c>
      <c r="B108" s="45" t="s">
        <v>283</v>
      </c>
      <c r="C108" s="50" t="s">
        <v>284</v>
      </c>
      <c r="D108" s="50" t="s">
        <v>285</v>
      </c>
      <c r="E108" s="50"/>
      <c r="F108" s="50"/>
      <c r="G108" s="45"/>
      <c r="H108" s="45"/>
      <c r="I108" s="45"/>
      <c r="J108" s="45"/>
      <c r="K108" s="45"/>
      <c r="L108" s="57" t="s">
        <v>64</v>
      </c>
      <c r="M108" s="57"/>
      <c r="N108" s="60"/>
      <c r="O108" s="10" t="s">
        <v>72</v>
      </c>
    </row>
    <row r="109" spans="1:15" ht="90" customHeight="1" outlineLevel="1">
      <c r="A109" s="46">
        <v>2</v>
      </c>
      <c r="B109" s="46" t="str">
        <f t="shared" si="7"/>
        <v>2.02010</v>
      </c>
      <c r="C109" s="53" t="s">
        <v>262</v>
      </c>
      <c r="D109" s="53" t="s">
        <v>263</v>
      </c>
      <c r="E109" s="53"/>
      <c r="F109" s="53"/>
      <c r="G109" s="46"/>
      <c r="H109" s="46"/>
      <c r="I109" s="46"/>
      <c r="J109" s="46"/>
      <c r="K109" s="46"/>
      <c r="L109" s="67" t="s">
        <v>78</v>
      </c>
      <c r="M109" s="60"/>
      <c r="N109" s="60"/>
      <c r="O109" s="10"/>
    </row>
    <row r="110" spans="1:15" ht="42.75" outlineLevel="1">
      <c r="A110" s="48">
        <v>2</v>
      </c>
      <c r="B110" s="48" t="str">
        <f t="shared" si="7"/>
        <v>2.02020</v>
      </c>
      <c r="C110" s="55" t="s">
        <v>286</v>
      </c>
      <c r="D110" s="55" t="s">
        <v>287</v>
      </c>
      <c r="E110" s="54" t="s">
        <v>288</v>
      </c>
      <c r="F110" s="54" t="s">
        <v>289</v>
      </c>
      <c r="G110" s="48"/>
      <c r="H110" s="48"/>
      <c r="I110" s="48"/>
      <c r="J110" s="48"/>
      <c r="K110" s="48"/>
      <c r="L110" s="59" t="s">
        <v>78</v>
      </c>
      <c r="M110" s="60"/>
      <c r="N110" s="60"/>
      <c r="O110" s="10"/>
    </row>
    <row r="111" spans="1:15" ht="42.75" outlineLevel="1">
      <c r="A111" s="48">
        <v>2</v>
      </c>
      <c r="B111" s="48" t="str">
        <f t="shared" si="7"/>
        <v>2.02030</v>
      </c>
      <c r="C111" s="55" t="s">
        <v>290</v>
      </c>
      <c r="D111" s="55" t="s">
        <v>291</v>
      </c>
      <c r="E111" s="54" t="s">
        <v>292</v>
      </c>
      <c r="F111" s="54" t="s">
        <v>293</v>
      </c>
      <c r="G111" s="48"/>
      <c r="H111" s="48"/>
      <c r="I111" s="48"/>
      <c r="J111" s="48"/>
      <c r="K111" s="48"/>
      <c r="L111" s="59" t="s">
        <v>78</v>
      </c>
      <c r="M111" s="60"/>
      <c r="N111" s="60"/>
      <c r="O111" s="10"/>
    </row>
    <row r="112" spans="1:15" ht="42.75" outlineLevel="1">
      <c r="A112" s="48">
        <v>2</v>
      </c>
      <c r="B112" s="48" t="str">
        <f t="shared" si="7"/>
        <v>2.02040</v>
      </c>
      <c r="C112" s="55" t="s">
        <v>294</v>
      </c>
      <c r="D112" s="55" t="s">
        <v>295</v>
      </c>
      <c r="E112" s="54" t="s">
        <v>296</v>
      </c>
      <c r="F112" s="54" t="s">
        <v>289</v>
      </c>
      <c r="G112" s="48"/>
      <c r="H112" s="48"/>
      <c r="I112" s="48"/>
      <c r="J112" s="48"/>
      <c r="K112" s="48"/>
      <c r="L112" s="59" t="s">
        <v>78</v>
      </c>
      <c r="M112" s="67"/>
      <c r="N112" s="60"/>
      <c r="O112" s="10"/>
    </row>
    <row r="113" spans="1:15" ht="18.75" customHeight="1" outlineLevel="1">
      <c r="A113" s="48">
        <v>2</v>
      </c>
      <c r="B113" s="48" t="str">
        <f t="shared" si="7"/>
        <v>2.02050</v>
      </c>
      <c r="C113" s="55" t="s">
        <v>297</v>
      </c>
      <c r="D113" s="55" t="s">
        <v>298</v>
      </c>
      <c r="E113" s="54" t="s">
        <v>299</v>
      </c>
      <c r="F113" s="54" t="s">
        <v>300</v>
      </c>
      <c r="G113" s="48"/>
      <c r="H113" s="48"/>
      <c r="I113" s="48"/>
      <c r="J113" s="48"/>
      <c r="K113" s="48"/>
      <c r="L113" s="59" t="s">
        <v>78</v>
      </c>
      <c r="M113" s="60"/>
      <c r="N113" s="60"/>
      <c r="O113" s="10"/>
    </row>
    <row r="114" spans="1:15" ht="42.75" outlineLevel="1">
      <c r="A114" s="48">
        <v>2</v>
      </c>
      <c r="B114" s="48" t="str">
        <f t="shared" si="7"/>
        <v>2.02060</v>
      </c>
      <c r="C114" s="55" t="s">
        <v>301</v>
      </c>
      <c r="D114" s="55" t="s">
        <v>302</v>
      </c>
      <c r="E114" s="54" t="s">
        <v>288</v>
      </c>
      <c r="F114" s="54" t="s">
        <v>289</v>
      </c>
      <c r="G114" s="48"/>
      <c r="H114" s="48"/>
      <c r="I114" s="48"/>
      <c r="J114" s="48"/>
      <c r="K114" s="48"/>
      <c r="L114" s="59" t="s">
        <v>78</v>
      </c>
      <c r="M114" s="60"/>
      <c r="N114" s="60"/>
      <c r="O114" s="10"/>
    </row>
    <row r="115" spans="1:15" ht="20.25" customHeight="1" outlineLevel="1">
      <c r="A115" s="48">
        <v>2</v>
      </c>
      <c r="B115" s="48" t="str">
        <f t="shared" si="7"/>
        <v>2.02070</v>
      </c>
      <c r="C115" s="55" t="s">
        <v>281</v>
      </c>
      <c r="D115" s="55" t="s">
        <v>282</v>
      </c>
      <c r="E115" s="54" t="s">
        <v>299</v>
      </c>
      <c r="F115" s="54" t="s">
        <v>300</v>
      </c>
      <c r="G115" s="48"/>
      <c r="H115" s="48"/>
      <c r="I115" s="48"/>
      <c r="J115" s="48"/>
      <c r="K115" s="48"/>
      <c r="L115" s="59" t="s">
        <v>78</v>
      </c>
      <c r="M115" s="60"/>
      <c r="N115" s="60"/>
      <c r="O115" s="10"/>
    </row>
    <row r="116" spans="1:15" s="58" customFormat="1" ht="15.75">
      <c r="A116" s="49">
        <v>3</v>
      </c>
      <c r="B116" s="47" t="s">
        <v>303</v>
      </c>
      <c r="C116" s="65" t="s">
        <v>304</v>
      </c>
      <c r="D116" s="65" t="s">
        <v>305</v>
      </c>
      <c r="E116" s="66"/>
      <c r="F116" s="66"/>
      <c r="G116" s="47"/>
      <c r="H116" s="47"/>
      <c r="I116" s="47"/>
      <c r="J116" s="47"/>
      <c r="K116" s="47"/>
      <c r="L116" s="74" t="s">
        <v>64</v>
      </c>
      <c r="M116" s="57" t="s">
        <v>65</v>
      </c>
      <c r="N116" s="60"/>
      <c r="O116" s="12" t="s">
        <v>66</v>
      </c>
    </row>
    <row r="117" spans="1:15" ht="99.75">
      <c r="A117" s="45">
        <v>3</v>
      </c>
      <c r="B117" s="45" t="s">
        <v>306</v>
      </c>
      <c r="C117" s="50" t="s">
        <v>307</v>
      </c>
      <c r="D117" s="50" t="s">
        <v>308</v>
      </c>
      <c r="E117" s="50"/>
      <c r="F117" s="50"/>
      <c r="G117" s="45"/>
      <c r="H117" s="45"/>
      <c r="I117" s="45"/>
      <c r="J117" s="45" t="s">
        <v>309</v>
      </c>
      <c r="K117" s="62"/>
      <c r="L117" s="59" t="s">
        <v>78</v>
      </c>
      <c r="M117" s="60" t="s">
        <v>79</v>
      </c>
      <c r="N117" s="60"/>
      <c r="O117" s="10" t="s">
        <v>72</v>
      </c>
    </row>
    <row r="118" spans="1:15" ht="99.75" outlineLevel="1">
      <c r="A118" s="46">
        <v>3</v>
      </c>
      <c r="B118" s="46" t="str">
        <f t="shared" ref="B118:B158" si="8">SUBSTITUTE(CONCATENATE((_xlfn.NUMBERVALUE(B117,".")+0.0001),IF(RIGHT(B117,2)="90","00","0")),",",".")</f>
        <v>3.01010</v>
      </c>
      <c r="C118" s="53" t="s">
        <v>310</v>
      </c>
      <c r="D118" s="53" t="s">
        <v>311</v>
      </c>
      <c r="E118" s="53"/>
      <c r="F118" s="53"/>
      <c r="G118" s="46"/>
      <c r="H118" s="46"/>
      <c r="I118" s="46"/>
      <c r="J118" s="46"/>
      <c r="K118" s="46"/>
      <c r="L118" s="60" t="s">
        <v>78</v>
      </c>
      <c r="M118" s="60" t="s">
        <v>79</v>
      </c>
      <c r="N118" s="60"/>
      <c r="O118" s="10"/>
    </row>
    <row r="119" spans="1:15" ht="31.5" customHeight="1" outlineLevel="1">
      <c r="A119" s="96">
        <v>3</v>
      </c>
      <c r="B119" s="96" t="str">
        <f t="shared" si="8"/>
        <v>3.01020</v>
      </c>
      <c r="C119" s="97" t="s">
        <v>312</v>
      </c>
      <c r="D119" s="97" t="s">
        <v>313</v>
      </c>
      <c r="E119" s="54" t="s">
        <v>314</v>
      </c>
      <c r="F119" s="54" t="s">
        <v>315</v>
      </c>
      <c r="G119" s="48"/>
      <c r="H119" s="48"/>
      <c r="I119" s="48"/>
      <c r="J119" s="48"/>
      <c r="K119" s="48"/>
      <c r="L119" s="60" t="s">
        <v>78</v>
      </c>
      <c r="M119" s="60" t="s">
        <v>79</v>
      </c>
      <c r="N119" s="60"/>
      <c r="O119" s="10"/>
    </row>
    <row r="120" spans="1:15" ht="22.5" customHeight="1" outlineLevel="1">
      <c r="A120" s="96"/>
      <c r="B120" s="96"/>
      <c r="C120" s="97"/>
      <c r="D120" s="97"/>
      <c r="E120" s="54" t="s">
        <v>316</v>
      </c>
      <c r="F120" s="54" t="s">
        <v>317</v>
      </c>
      <c r="G120" s="48"/>
      <c r="H120" s="48"/>
      <c r="I120" s="48"/>
      <c r="J120" s="48"/>
      <c r="K120" s="48"/>
      <c r="L120" s="60" t="s">
        <v>78</v>
      </c>
      <c r="M120" s="60" t="s">
        <v>79</v>
      </c>
      <c r="N120" s="60"/>
      <c r="O120" s="10"/>
    </row>
    <row r="121" spans="1:15" ht="28.5" outlineLevel="1">
      <c r="A121" s="96"/>
      <c r="B121" s="96"/>
      <c r="C121" s="97"/>
      <c r="D121" s="97"/>
      <c r="E121" s="54" t="s">
        <v>127</v>
      </c>
      <c r="F121" s="54" t="s">
        <v>128</v>
      </c>
      <c r="G121" s="48" t="s">
        <v>318</v>
      </c>
      <c r="H121" s="48"/>
      <c r="I121" s="48"/>
      <c r="J121" s="48"/>
      <c r="K121" s="48"/>
      <c r="L121" s="60" t="s">
        <v>78</v>
      </c>
      <c r="M121" s="60" t="s">
        <v>79</v>
      </c>
      <c r="N121" s="60"/>
      <c r="O121" s="10"/>
    </row>
    <row r="122" spans="1:15" ht="28.5" customHeight="1" outlineLevel="1">
      <c r="A122" s="96">
        <v>3</v>
      </c>
      <c r="B122" s="96" t="str">
        <f>SUBSTITUTE(CONCATENATE((_xlfn.NUMBERVALUE(B119,".")+0.0001),IF(RIGHT(B119,2)="90","00","0")),",",".")</f>
        <v>3.01030</v>
      </c>
      <c r="C122" s="97" t="s">
        <v>319</v>
      </c>
      <c r="D122" s="97" t="s">
        <v>320</v>
      </c>
      <c r="E122" s="54" t="s">
        <v>321</v>
      </c>
      <c r="F122" s="54" t="s">
        <v>322</v>
      </c>
      <c r="G122" s="48"/>
      <c r="H122" s="48"/>
      <c r="I122" s="48"/>
      <c r="J122" s="48"/>
      <c r="K122" s="48"/>
      <c r="L122" s="60" t="s">
        <v>78</v>
      </c>
      <c r="M122" s="60" t="s">
        <v>79</v>
      </c>
      <c r="N122" s="60"/>
      <c r="O122" s="10"/>
    </row>
    <row r="123" spans="1:15" ht="28.5" customHeight="1" outlineLevel="1">
      <c r="A123" s="96"/>
      <c r="B123" s="96"/>
      <c r="C123" s="97"/>
      <c r="D123" s="97"/>
      <c r="E123" s="54" t="s">
        <v>227</v>
      </c>
      <c r="F123" s="54" t="s">
        <v>228</v>
      </c>
      <c r="G123" s="48" t="s">
        <v>323</v>
      </c>
      <c r="H123" s="48"/>
      <c r="I123" s="48"/>
      <c r="J123" s="48"/>
      <c r="K123" s="48"/>
      <c r="L123" s="60" t="s">
        <v>115</v>
      </c>
      <c r="M123" s="60"/>
      <c r="N123" s="60"/>
      <c r="O123" s="10"/>
    </row>
    <row r="124" spans="1:15" ht="28.5" outlineLevel="1">
      <c r="A124" s="96"/>
      <c r="B124" s="96"/>
      <c r="C124" s="97"/>
      <c r="D124" s="97"/>
      <c r="E124" s="54" t="s">
        <v>127</v>
      </c>
      <c r="F124" s="54" t="s">
        <v>128</v>
      </c>
      <c r="G124" s="48" t="s">
        <v>324</v>
      </c>
      <c r="H124" s="48"/>
      <c r="I124" s="48"/>
      <c r="J124" s="48"/>
      <c r="K124" s="48"/>
      <c r="L124" s="60" t="s">
        <v>78</v>
      </c>
      <c r="M124" s="60" t="s">
        <v>79</v>
      </c>
      <c r="N124" s="60"/>
      <c r="O124" s="10"/>
    </row>
    <row r="125" spans="1:15" ht="28.5" customHeight="1" outlineLevel="1">
      <c r="A125" s="96">
        <v>3</v>
      </c>
      <c r="B125" s="96" t="str">
        <f>SUBSTITUTE(CONCATENATE((_xlfn.NUMBERVALUE(B122,".")+0.0001),IF(RIGHT(B122,2)="90","00","0")),",",".")</f>
        <v>3.01040</v>
      </c>
      <c r="C125" s="97" t="s">
        <v>325</v>
      </c>
      <c r="D125" s="97" t="s">
        <v>326</v>
      </c>
      <c r="E125" s="54" t="s">
        <v>327</v>
      </c>
      <c r="F125" s="54" t="s">
        <v>328</v>
      </c>
      <c r="G125" s="48"/>
      <c r="H125" s="48"/>
      <c r="I125" s="48"/>
      <c r="J125" s="48"/>
      <c r="K125" s="48"/>
      <c r="L125" s="60" t="s">
        <v>78</v>
      </c>
      <c r="M125" s="60" t="s">
        <v>79</v>
      </c>
      <c r="N125" s="60"/>
      <c r="O125" s="10"/>
    </row>
    <row r="126" spans="1:15" ht="23.25" customHeight="1" outlineLevel="1">
      <c r="A126" s="96"/>
      <c r="B126" s="96"/>
      <c r="C126" s="97"/>
      <c r="D126" s="97"/>
      <c r="E126" s="54" t="s">
        <v>227</v>
      </c>
      <c r="F126" s="54" t="s">
        <v>228</v>
      </c>
      <c r="G126" s="48" t="s">
        <v>329</v>
      </c>
      <c r="H126" s="48"/>
      <c r="I126" s="48"/>
      <c r="J126" s="48"/>
      <c r="K126" s="48"/>
      <c r="L126" s="60" t="s">
        <v>78</v>
      </c>
      <c r="M126" s="60" t="s">
        <v>79</v>
      </c>
      <c r="N126" s="60"/>
      <c r="O126" s="10"/>
    </row>
    <row r="127" spans="1:15" ht="42.75" outlineLevel="1">
      <c r="A127" s="96"/>
      <c r="B127" s="96"/>
      <c r="C127" s="97"/>
      <c r="D127" s="97"/>
      <c r="E127" s="54" t="s">
        <v>330</v>
      </c>
      <c r="F127" s="54" t="s">
        <v>331</v>
      </c>
      <c r="G127" s="48"/>
      <c r="H127" s="48"/>
      <c r="I127" s="48"/>
      <c r="J127" s="48"/>
      <c r="K127" s="48"/>
      <c r="L127" s="60" t="s">
        <v>78</v>
      </c>
      <c r="M127" s="60" t="s">
        <v>79</v>
      </c>
      <c r="N127" s="60"/>
      <c r="O127" s="10"/>
    </row>
    <row r="128" spans="1:15" ht="42.75" outlineLevel="1">
      <c r="A128" s="48">
        <v>3</v>
      </c>
      <c r="B128" s="48" t="str">
        <f>SUBSTITUTE(CONCATENATE((_xlfn.NUMBERVALUE(B125,".")+0.0001),IF(RIGHT(B125,2)="90","00","0")),",",".")</f>
        <v>3.01050</v>
      </c>
      <c r="C128" s="55" t="s">
        <v>332</v>
      </c>
      <c r="D128" s="55" t="s">
        <v>333</v>
      </c>
      <c r="E128" s="54" t="s">
        <v>334</v>
      </c>
      <c r="F128" s="54" t="s">
        <v>335</v>
      </c>
      <c r="G128" s="48"/>
      <c r="H128" s="48"/>
      <c r="I128" s="48"/>
      <c r="J128" s="48"/>
      <c r="K128" s="48"/>
      <c r="L128" s="60" t="s">
        <v>78</v>
      </c>
      <c r="M128" s="60" t="s">
        <v>79</v>
      </c>
      <c r="N128" s="60"/>
      <c r="O128" s="10"/>
    </row>
    <row r="129" spans="1:15" ht="42.75" outlineLevel="1">
      <c r="A129" s="48">
        <v>3</v>
      </c>
      <c r="B129" s="48" t="str">
        <f>SUBSTITUTE(CONCATENATE((_xlfn.NUMBERVALUE(B128,".")+0.0001),IF(RIGHT(B128,2)="90","00","0")),",",".")</f>
        <v>3.01060</v>
      </c>
      <c r="C129" s="55" t="s">
        <v>336</v>
      </c>
      <c r="D129" s="55" t="s">
        <v>337</v>
      </c>
      <c r="E129" s="54" t="s">
        <v>338</v>
      </c>
      <c r="F129" s="54" t="s">
        <v>339</v>
      </c>
      <c r="G129" s="48"/>
      <c r="H129" s="48"/>
      <c r="I129" s="48"/>
      <c r="J129" s="48"/>
      <c r="K129" s="48"/>
      <c r="L129" s="60" t="s">
        <v>78</v>
      </c>
      <c r="M129" s="60" t="s">
        <v>79</v>
      </c>
      <c r="N129" s="60"/>
      <c r="O129" s="10"/>
    </row>
    <row r="130" spans="1:15" ht="31.5" customHeight="1" outlineLevel="1">
      <c r="A130" s="89">
        <v>3</v>
      </c>
      <c r="B130" s="89" t="str">
        <f t="shared" ref="B130:B148" si="9">SUBSTITUTE(CONCATENATE((_xlfn.NUMBERVALUE(B129,".")+0.0001),IF(RIGHT(B129,2)="90","00","0")),",",".")</f>
        <v>3.01070</v>
      </c>
      <c r="C130" s="92" t="s">
        <v>340</v>
      </c>
      <c r="D130" s="92" t="s">
        <v>341</v>
      </c>
      <c r="E130" s="54" t="s">
        <v>321</v>
      </c>
      <c r="F130" s="54" t="s">
        <v>322</v>
      </c>
      <c r="G130" s="48"/>
      <c r="H130" s="48"/>
      <c r="I130" s="48"/>
      <c r="J130" s="48"/>
      <c r="K130" s="48"/>
      <c r="L130" s="60" t="s">
        <v>78</v>
      </c>
      <c r="M130" s="60" t="s">
        <v>79</v>
      </c>
      <c r="N130" s="60"/>
      <c r="O130" s="10"/>
    </row>
    <row r="131" spans="1:15" ht="31.5" customHeight="1" outlineLevel="1">
      <c r="A131" s="90"/>
      <c r="B131" s="90"/>
      <c r="C131" s="98"/>
      <c r="D131" s="98"/>
      <c r="E131" s="54" t="s">
        <v>227</v>
      </c>
      <c r="F131" s="54" t="s">
        <v>228</v>
      </c>
      <c r="G131" s="48" t="s">
        <v>323</v>
      </c>
      <c r="H131" s="48"/>
      <c r="I131" s="48"/>
      <c r="J131" s="48"/>
      <c r="K131" s="48"/>
      <c r="L131" s="60" t="s">
        <v>78</v>
      </c>
      <c r="M131" s="60" t="s">
        <v>79</v>
      </c>
      <c r="N131" s="60"/>
      <c r="O131" s="10"/>
    </row>
    <row r="132" spans="1:15" ht="45.75" customHeight="1" outlineLevel="1">
      <c r="A132" s="48">
        <v>3</v>
      </c>
      <c r="B132" s="48" t="str">
        <f>SUBSTITUTE(CONCATENATE((_xlfn.NUMBERVALUE(B130,".")+0.0001),IF(RIGHT(B130,2)="90","00","0")),",",".")</f>
        <v>3.01080</v>
      </c>
      <c r="C132" s="55" t="s">
        <v>342</v>
      </c>
      <c r="D132" s="55" t="s">
        <v>343</v>
      </c>
      <c r="E132" s="54" t="s">
        <v>344</v>
      </c>
      <c r="F132" s="54" t="s">
        <v>345</v>
      </c>
      <c r="G132" s="48"/>
      <c r="H132" s="48"/>
      <c r="I132" s="48"/>
      <c r="J132" s="48"/>
      <c r="K132" s="48"/>
      <c r="L132" s="60" t="s">
        <v>78</v>
      </c>
      <c r="M132" s="60" t="s">
        <v>79</v>
      </c>
      <c r="N132" s="60"/>
      <c r="O132" s="10"/>
    </row>
    <row r="133" spans="1:15" ht="28.5" customHeight="1" outlineLevel="1">
      <c r="A133" s="89">
        <v>3</v>
      </c>
      <c r="B133" s="89" t="str">
        <f t="shared" si="9"/>
        <v>3.01090</v>
      </c>
      <c r="C133" s="92" t="s">
        <v>346</v>
      </c>
      <c r="D133" s="92" t="s">
        <v>347</v>
      </c>
      <c r="E133" s="54" t="s">
        <v>321</v>
      </c>
      <c r="F133" s="54" t="s">
        <v>322</v>
      </c>
      <c r="G133" s="48"/>
      <c r="H133" s="48"/>
      <c r="I133" s="48"/>
      <c r="J133" s="48"/>
      <c r="K133" s="48"/>
      <c r="L133" s="60" t="s">
        <v>78</v>
      </c>
      <c r="M133" s="60" t="s">
        <v>79</v>
      </c>
      <c r="N133" s="60"/>
      <c r="O133" s="10"/>
    </row>
    <row r="134" spans="1:15" ht="14.25" outlineLevel="1">
      <c r="A134" s="90"/>
      <c r="B134" s="90"/>
      <c r="C134" s="98"/>
      <c r="D134" s="98"/>
      <c r="E134" s="54" t="s">
        <v>227</v>
      </c>
      <c r="F134" s="54" t="s">
        <v>228</v>
      </c>
      <c r="G134" s="48" t="s">
        <v>323</v>
      </c>
      <c r="H134" s="48"/>
      <c r="I134" s="48"/>
      <c r="J134" s="48"/>
      <c r="K134" s="48"/>
      <c r="L134" s="60" t="s">
        <v>115</v>
      </c>
      <c r="M134" s="60" t="s">
        <v>79</v>
      </c>
      <c r="N134" s="60"/>
      <c r="O134" s="10"/>
    </row>
    <row r="135" spans="1:15" ht="42.75" outlineLevel="1">
      <c r="A135" s="48">
        <v>3</v>
      </c>
      <c r="B135" s="48" t="str">
        <f>SUBSTITUTE(CONCATENATE((_xlfn.NUMBERVALUE(B133,".")+0.0001),IF(RIGHT(B133,2)="90","00","0")),",",".")</f>
        <v>3.01100</v>
      </c>
      <c r="C135" s="55" t="s">
        <v>348</v>
      </c>
      <c r="D135" s="55" t="s">
        <v>349</v>
      </c>
      <c r="E135" s="54" t="s">
        <v>344</v>
      </c>
      <c r="F135" s="54" t="s">
        <v>345</v>
      </c>
      <c r="G135" s="48"/>
      <c r="H135" s="48"/>
      <c r="I135" s="48"/>
      <c r="J135" s="48"/>
      <c r="K135" s="48"/>
      <c r="L135" s="60" t="s">
        <v>78</v>
      </c>
      <c r="M135" s="60" t="s">
        <v>79</v>
      </c>
      <c r="N135" s="60"/>
      <c r="O135" s="10"/>
    </row>
    <row r="136" spans="1:15" ht="28.5" customHeight="1" outlineLevel="1">
      <c r="A136" s="89">
        <v>3</v>
      </c>
      <c r="B136" s="89" t="str">
        <f t="shared" si="9"/>
        <v>3.01110</v>
      </c>
      <c r="C136" s="92" t="s">
        <v>350</v>
      </c>
      <c r="D136" s="92" t="s">
        <v>351</v>
      </c>
      <c r="E136" s="54" t="s">
        <v>321</v>
      </c>
      <c r="F136" s="54" t="s">
        <v>322</v>
      </c>
      <c r="G136" s="48"/>
      <c r="H136" s="48"/>
      <c r="I136" s="48"/>
      <c r="J136" s="48"/>
      <c r="K136" s="48"/>
      <c r="L136" s="60" t="s">
        <v>78</v>
      </c>
      <c r="M136" s="60" t="s">
        <v>79</v>
      </c>
      <c r="N136" s="60"/>
      <c r="O136" s="10"/>
    </row>
    <row r="137" spans="1:15" ht="14.25" outlineLevel="1">
      <c r="A137" s="90"/>
      <c r="B137" s="90"/>
      <c r="C137" s="98"/>
      <c r="D137" s="98"/>
      <c r="E137" s="54" t="s">
        <v>227</v>
      </c>
      <c r="F137" s="54" t="s">
        <v>228</v>
      </c>
      <c r="G137" s="48" t="s">
        <v>323</v>
      </c>
      <c r="H137" s="48"/>
      <c r="I137" s="48"/>
      <c r="J137" s="48"/>
      <c r="K137" s="48"/>
      <c r="L137" s="60" t="s">
        <v>115</v>
      </c>
      <c r="M137" s="60" t="s">
        <v>79</v>
      </c>
      <c r="N137" s="60"/>
      <c r="O137" s="10"/>
    </row>
    <row r="138" spans="1:15" ht="42.75" outlineLevel="1">
      <c r="A138" s="48">
        <v>3</v>
      </c>
      <c r="B138" s="48" t="str">
        <f>SUBSTITUTE(CONCATENATE((_xlfn.NUMBERVALUE(B136,".")+0.0001),IF(RIGHT(B136,2)="90","00","0")),",",".")</f>
        <v>3.01120</v>
      </c>
      <c r="C138" s="55" t="s">
        <v>352</v>
      </c>
      <c r="D138" s="55" t="s">
        <v>353</v>
      </c>
      <c r="E138" s="54" t="s">
        <v>344</v>
      </c>
      <c r="F138" s="54" t="s">
        <v>345</v>
      </c>
      <c r="G138" s="48"/>
      <c r="H138" s="48"/>
      <c r="I138" s="48"/>
      <c r="J138" s="48"/>
      <c r="K138" s="48"/>
      <c r="L138" s="60" t="s">
        <v>78</v>
      </c>
      <c r="M138" s="60" t="s">
        <v>79</v>
      </c>
      <c r="N138" s="60"/>
      <c r="O138" s="10"/>
    </row>
    <row r="139" spans="1:15" ht="28.5" customHeight="1" outlineLevel="1">
      <c r="A139" s="89">
        <v>3</v>
      </c>
      <c r="B139" s="89" t="str">
        <f t="shared" si="9"/>
        <v>3.01130</v>
      </c>
      <c r="C139" s="92" t="s">
        <v>354</v>
      </c>
      <c r="D139" s="92" t="s">
        <v>355</v>
      </c>
      <c r="E139" s="54" t="s">
        <v>321</v>
      </c>
      <c r="F139" s="54" t="s">
        <v>322</v>
      </c>
      <c r="G139" s="48"/>
      <c r="H139" s="48"/>
      <c r="I139" s="48"/>
      <c r="J139" s="48"/>
      <c r="K139" s="48"/>
      <c r="L139" s="60" t="s">
        <v>78</v>
      </c>
      <c r="M139" s="60" t="s">
        <v>79</v>
      </c>
      <c r="N139" s="60"/>
      <c r="O139" s="10"/>
    </row>
    <row r="140" spans="1:15" ht="14.25" outlineLevel="1">
      <c r="A140" s="90"/>
      <c r="B140" s="90"/>
      <c r="C140" s="98"/>
      <c r="D140" s="98"/>
      <c r="E140" s="54" t="s">
        <v>227</v>
      </c>
      <c r="F140" s="54" t="s">
        <v>228</v>
      </c>
      <c r="G140" s="48" t="s">
        <v>323</v>
      </c>
      <c r="H140" s="48"/>
      <c r="I140" s="48"/>
      <c r="J140" s="48"/>
      <c r="K140" s="48"/>
      <c r="L140" s="60" t="s">
        <v>115</v>
      </c>
      <c r="M140" s="60" t="s">
        <v>79</v>
      </c>
      <c r="N140" s="60"/>
      <c r="O140" s="10"/>
    </row>
    <row r="141" spans="1:15" ht="42.75" outlineLevel="1">
      <c r="A141" s="48">
        <v>3</v>
      </c>
      <c r="B141" s="48" t="str">
        <f>SUBSTITUTE(CONCATENATE((_xlfn.NUMBERVALUE(B139,".")+0.0001),IF(RIGHT(B139,2)="90","00","0")),",",".")</f>
        <v>3.01140</v>
      </c>
      <c r="C141" s="55" t="s">
        <v>356</v>
      </c>
      <c r="D141" s="55" t="s">
        <v>357</v>
      </c>
      <c r="E141" s="54" t="s">
        <v>344</v>
      </c>
      <c r="F141" s="54" t="s">
        <v>345</v>
      </c>
      <c r="G141" s="48"/>
      <c r="H141" s="48"/>
      <c r="I141" s="48"/>
      <c r="J141" s="48"/>
      <c r="K141" s="48"/>
      <c r="L141" s="60" t="s">
        <v>78</v>
      </c>
      <c r="M141" s="60" t="s">
        <v>79</v>
      </c>
      <c r="N141" s="60"/>
      <c r="O141" s="10"/>
    </row>
    <row r="142" spans="1:15" ht="28.5" customHeight="1" outlineLevel="1">
      <c r="A142" s="89">
        <v>3</v>
      </c>
      <c r="B142" s="89" t="str">
        <f t="shared" si="9"/>
        <v>3.01150</v>
      </c>
      <c r="C142" s="92" t="s">
        <v>358</v>
      </c>
      <c r="D142" s="92" t="s">
        <v>359</v>
      </c>
      <c r="E142" s="54" t="s">
        <v>321</v>
      </c>
      <c r="F142" s="54" t="s">
        <v>322</v>
      </c>
      <c r="G142" s="48"/>
      <c r="H142" s="48"/>
      <c r="I142" s="48"/>
      <c r="J142" s="48"/>
      <c r="K142" s="48"/>
      <c r="L142" s="60" t="s">
        <v>78</v>
      </c>
      <c r="M142" s="60" t="s">
        <v>79</v>
      </c>
      <c r="N142" s="60"/>
      <c r="O142" s="10"/>
    </row>
    <row r="143" spans="1:15" ht="14.25" outlineLevel="1">
      <c r="A143" s="90"/>
      <c r="B143" s="90"/>
      <c r="C143" s="98"/>
      <c r="D143" s="98"/>
      <c r="E143" s="54" t="s">
        <v>227</v>
      </c>
      <c r="F143" s="54" t="s">
        <v>228</v>
      </c>
      <c r="G143" s="48" t="s">
        <v>323</v>
      </c>
      <c r="H143" s="48"/>
      <c r="I143" s="48"/>
      <c r="J143" s="48"/>
      <c r="K143" s="48"/>
      <c r="L143" s="60" t="s">
        <v>115</v>
      </c>
      <c r="M143" s="60" t="s">
        <v>79</v>
      </c>
      <c r="N143" s="60"/>
      <c r="O143" s="10"/>
    </row>
    <row r="144" spans="1:15" ht="42.75" outlineLevel="1">
      <c r="A144" s="48">
        <v>3</v>
      </c>
      <c r="B144" s="48" t="str">
        <f>SUBSTITUTE(CONCATENATE((_xlfn.NUMBERVALUE(B142,".")+0.0001),IF(RIGHT(B142,2)="90","00","0")),",",".")</f>
        <v>3.01160</v>
      </c>
      <c r="C144" s="55" t="s">
        <v>360</v>
      </c>
      <c r="D144" s="55" t="s">
        <v>361</v>
      </c>
      <c r="E144" s="54" t="s">
        <v>344</v>
      </c>
      <c r="F144" s="54" t="s">
        <v>345</v>
      </c>
      <c r="G144" s="48"/>
      <c r="H144" s="48"/>
      <c r="I144" s="48"/>
      <c r="J144" s="48"/>
      <c r="K144" s="48"/>
      <c r="L144" s="60" t="s">
        <v>78</v>
      </c>
      <c r="M144" s="60" t="s">
        <v>79</v>
      </c>
      <c r="N144" s="60"/>
      <c r="O144" s="10"/>
    </row>
    <row r="145" spans="1:15" ht="28.5" customHeight="1" outlineLevel="1">
      <c r="A145" s="89">
        <v>3</v>
      </c>
      <c r="B145" s="89" t="str">
        <f t="shared" si="9"/>
        <v>3.01170</v>
      </c>
      <c r="C145" s="92" t="s">
        <v>362</v>
      </c>
      <c r="D145" s="92" t="s">
        <v>363</v>
      </c>
      <c r="E145" s="54" t="s">
        <v>321</v>
      </c>
      <c r="F145" s="54" t="s">
        <v>322</v>
      </c>
      <c r="G145" s="48"/>
      <c r="H145" s="48"/>
      <c r="I145" s="48"/>
      <c r="J145" s="48"/>
      <c r="K145" s="48"/>
      <c r="L145" s="60" t="s">
        <v>78</v>
      </c>
      <c r="M145" s="60" t="s">
        <v>79</v>
      </c>
      <c r="N145" s="60"/>
      <c r="O145" s="10"/>
    </row>
    <row r="146" spans="1:15" ht="14.25" outlineLevel="1">
      <c r="A146" s="90"/>
      <c r="B146" s="90"/>
      <c r="C146" s="98"/>
      <c r="D146" s="98"/>
      <c r="E146" s="54" t="s">
        <v>227</v>
      </c>
      <c r="F146" s="54" t="s">
        <v>228</v>
      </c>
      <c r="G146" s="48" t="s">
        <v>323</v>
      </c>
      <c r="H146" s="48"/>
      <c r="I146" s="48"/>
      <c r="J146" s="48"/>
      <c r="K146" s="48"/>
      <c r="L146" s="60" t="s">
        <v>115</v>
      </c>
      <c r="M146" s="60" t="s">
        <v>79</v>
      </c>
      <c r="N146" s="60"/>
      <c r="O146" s="10"/>
    </row>
    <row r="147" spans="1:15" ht="42.75" outlineLevel="1">
      <c r="A147" s="48">
        <v>3</v>
      </c>
      <c r="B147" s="48" t="str">
        <f>SUBSTITUTE(CONCATENATE((_xlfn.NUMBERVALUE(B145,".")+0.0001),IF(RIGHT(B145,2)="90","00","0")),",",".")</f>
        <v>3.01180</v>
      </c>
      <c r="C147" s="55" t="s">
        <v>364</v>
      </c>
      <c r="D147" s="55" t="s">
        <v>365</v>
      </c>
      <c r="E147" s="54" t="s">
        <v>344</v>
      </c>
      <c r="F147" s="54" t="s">
        <v>345</v>
      </c>
      <c r="G147" s="48"/>
      <c r="H147" s="48"/>
      <c r="I147" s="48"/>
      <c r="J147" s="48"/>
      <c r="K147" s="48"/>
      <c r="L147" s="60" t="s">
        <v>78</v>
      </c>
      <c r="M147" s="60" t="s">
        <v>79</v>
      </c>
      <c r="N147" s="60"/>
      <c r="O147" s="10"/>
    </row>
    <row r="148" spans="1:15" ht="28.5" customHeight="1" outlineLevel="1">
      <c r="A148" s="89">
        <v>3</v>
      </c>
      <c r="B148" s="89" t="str">
        <f t="shared" si="9"/>
        <v>3.01190</v>
      </c>
      <c r="C148" s="92" t="s">
        <v>366</v>
      </c>
      <c r="D148" s="92" t="s">
        <v>367</v>
      </c>
      <c r="E148" s="54" t="s">
        <v>321</v>
      </c>
      <c r="F148" s="54" t="s">
        <v>322</v>
      </c>
      <c r="G148" s="48"/>
      <c r="H148" s="48"/>
      <c r="I148" s="48"/>
      <c r="J148" s="48"/>
      <c r="K148" s="48"/>
      <c r="L148" s="60" t="s">
        <v>78</v>
      </c>
      <c r="M148" s="60" t="s">
        <v>79</v>
      </c>
      <c r="N148" s="60"/>
      <c r="O148" s="10"/>
    </row>
    <row r="149" spans="1:15" ht="14.25" outlineLevel="1">
      <c r="A149" s="90"/>
      <c r="B149" s="90"/>
      <c r="C149" s="98"/>
      <c r="D149" s="98"/>
      <c r="E149" s="54" t="s">
        <v>227</v>
      </c>
      <c r="F149" s="54" t="s">
        <v>228</v>
      </c>
      <c r="G149" s="48" t="s">
        <v>323</v>
      </c>
      <c r="H149" s="48"/>
      <c r="I149" s="48"/>
      <c r="J149" s="48"/>
      <c r="K149" s="48"/>
      <c r="L149" s="60" t="s">
        <v>115</v>
      </c>
      <c r="M149" s="60" t="s">
        <v>79</v>
      </c>
      <c r="N149" s="60"/>
      <c r="O149" s="10"/>
    </row>
    <row r="150" spans="1:15" ht="42.75" outlineLevel="1">
      <c r="A150" s="48">
        <v>3</v>
      </c>
      <c r="B150" s="48" t="str">
        <f>SUBSTITUTE(CONCATENATE((_xlfn.NUMBERVALUE(B148,".")+0.0001),IF(RIGHT(B148,2)="90","00","0")),",",".")</f>
        <v>3.01200</v>
      </c>
      <c r="C150" s="55" t="s">
        <v>368</v>
      </c>
      <c r="D150" s="55" t="s">
        <v>369</v>
      </c>
      <c r="E150" s="54" t="s">
        <v>344</v>
      </c>
      <c r="F150" s="54" t="s">
        <v>345</v>
      </c>
      <c r="G150" s="48"/>
      <c r="H150" s="48"/>
      <c r="I150" s="48"/>
      <c r="J150" s="48"/>
      <c r="K150" s="48"/>
      <c r="L150" s="60" t="s">
        <v>78</v>
      </c>
      <c r="M150" s="60" t="s">
        <v>79</v>
      </c>
      <c r="N150" s="60"/>
      <c r="O150" s="10"/>
    </row>
    <row r="151" spans="1:15" ht="42.75">
      <c r="A151" s="45">
        <v>3</v>
      </c>
      <c r="B151" s="45" t="s">
        <v>370</v>
      </c>
      <c r="C151" s="50" t="s">
        <v>371</v>
      </c>
      <c r="D151" s="50" t="s">
        <v>372</v>
      </c>
      <c r="E151" s="50"/>
      <c r="F151" s="50"/>
      <c r="G151" s="45"/>
      <c r="H151" s="45"/>
      <c r="I151" s="45"/>
      <c r="J151" s="45" t="s">
        <v>373</v>
      </c>
      <c r="K151" s="45"/>
      <c r="L151" s="57" t="s">
        <v>150</v>
      </c>
      <c r="M151" s="57"/>
      <c r="N151" s="60"/>
      <c r="O151" s="10" t="s">
        <v>72</v>
      </c>
    </row>
    <row r="152" spans="1:15" ht="99.75" outlineLevel="1">
      <c r="A152" s="46">
        <v>3</v>
      </c>
      <c r="B152" s="46" t="str">
        <f t="shared" si="8"/>
        <v>3.02010</v>
      </c>
      <c r="C152" s="53" t="s">
        <v>374</v>
      </c>
      <c r="D152" s="53" t="s">
        <v>375</v>
      </c>
      <c r="E152" s="53"/>
      <c r="F152" s="53"/>
      <c r="G152" s="46"/>
      <c r="H152" s="46"/>
      <c r="I152" s="46"/>
      <c r="J152" s="46"/>
      <c r="K152" s="46"/>
      <c r="L152" s="59" t="s">
        <v>115</v>
      </c>
      <c r="M152" s="60"/>
      <c r="N152" s="60"/>
      <c r="O152" s="10"/>
    </row>
    <row r="153" spans="1:15" ht="42.75" outlineLevel="1">
      <c r="A153" s="48">
        <v>3</v>
      </c>
      <c r="B153" s="48" t="str">
        <f t="shared" si="8"/>
        <v>3.02020</v>
      </c>
      <c r="C153" s="55" t="s">
        <v>376</v>
      </c>
      <c r="D153" s="55" t="s">
        <v>377</v>
      </c>
      <c r="E153" s="54" t="s">
        <v>378</v>
      </c>
      <c r="F153" s="54" t="s">
        <v>379</v>
      </c>
      <c r="G153" s="48" t="s">
        <v>380</v>
      </c>
      <c r="H153" s="48"/>
      <c r="I153" s="48"/>
      <c r="J153" s="48"/>
      <c r="K153" s="48"/>
      <c r="L153" s="59" t="s">
        <v>115</v>
      </c>
      <c r="M153" s="60"/>
      <c r="N153" s="60"/>
      <c r="O153" s="10"/>
    </row>
    <row r="154" spans="1:15" ht="42.75" outlineLevel="1">
      <c r="A154" s="48">
        <v>3</v>
      </c>
      <c r="B154" s="48" t="str">
        <f t="shared" si="8"/>
        <v>3.02030</v>
      </c>
      <c r="C154" s="55" t="s">
        <v>381</v>
      </c>
      <c r="D154" s="55" t="s">
        <v>382</v>
      </c>
      <c r="E154" s="54" t="s">
        <v>232</v>
      </c>
      <c r="F154" s="54" t="s">
        <v>233</v>
      </c>
      <c r="G154" s="48"/>
      <c r="H154" s="48"/>
      <c r="I154" s="48"/>
      <c r="J154" s="48"/>
      <c r="K154" s="48"/>
      <c r="L154" s="59" t="s">
        <v>115</v>
      </c>
      <c r="M154" s="60"/>
      <c r="N154" s="60"/>
      <c r="O154" s="10"/>
    </row>
    <row r="155" spans="1:15" ht="42.75" outlineLevel="1">
      <c r="A155" s="48">
        <v>3</v>
      </c>
      <c r="B155" s="48" t="str">
        <f t="shared" si="8"/>
        <v>3.02040</v>
      </c>
      <c r="C155" s="55" t="s">
        <v>383</v>
      </c>
      <c r="D155" s="55" t="s">
        <v>384</v>
      </c>
      <c r="E155" s="54" t="s">
        <v>378</v>
      </c>
      <c r="F155" s="54" t="s">
        <v>379</v>
      </c>
      <c r="G155" s="48" t="s">
        <v>385</v>
      </c>
      <c r="H155" s="48"/>
      <c r="I155" s="48"/>
      <c r="J155" s="48"/>
      <c r="K155" s="48"/>
      <c r="L155" s="59" t="s">
        <v>115</v>
      </c>
      <c r="M155" s="60"/>
      <c r="N155" s="60"/>
      <c r="O155" s="10" t="s">
        <v>72</v>
      </c>
    </row>
    <row r="156" spans="1:15" ht="42.75" outlineLevel="1">
      <c r="A156" s="48">
        <v>3</v>
      </c>
      <c r="B156" s="48" t="str">
        <f t="shared" si="8"/>
        <v>3.02050</v>
      </c>
      <c r="C156" s="55" t="s">
        <v>386</v>
      </c>
      <c r="D156" s="55" t="s">
        <v>387</v>
      </c>
      <c r="E156" s="54" t="s">
        <v>232</v>
      </c>
      <c r="F156" s="54" t="s">
        <v>233</v>
      </c>
      <c r="G156" s="48"/>
      <c r="H156" s="48"/>
      <c r="I156" s="48"/>
      <c r="J156" s="48"/>
      <c r="K156" s="48"/>
      <c r="L156" s="59" t="s">
        <v>115</v>
      </c>
      <c r="M156" s="60"/>
      <c r="N156" s="60"/>
      <c r="O156" s="10"/>
    </row>
    <row r="157" spans="1:15" ht="28.5" outlineLevel="1">
      <c r="A157" s="48">
        <v>3</v>
      </c>
      <c r="B157" s="48" t="str">
        <f t="shared" si="8"/>
        <v>3.02060</v>
      </c>
      <c r="C157" s="55" t="s">
        <v>388</v>
      </c>
      <c r="D157" s="55" t="s">
        <v>389</v>
      </c>
      <c r="E157" s="54" t="s">
        <v>390</v>
      </c>
      <c r="F157" s="54" t="s">
        <v>391</v>
      </c>
      <c r="G157" s="48"/>
      <c r="H157" s="48"/>
      <c r="I157" s="48"/>
      <c r="J157" s="48"/>
      <c r="K157" s="48"/>
      <c r="L157" s="59" t="s">
        <v>115</v>
      </c>
      <c r="M157" s="60"/>
      <c r="N157" s="60"/>
      <c r="O157" s="10"/>
    </row>
    <row r="158" spans="1:15" ht="42.75" outlineLevel="1">
      <c r="A158" s="89">
        <v>3</v>
      </c>
      <c r="B158" s="89" t="str">
        <f t="shared" si="8"/>
        <v>3.02070</v>
      </c>
      <c r="C158" s="92" t="s">
        <v>312</v>
      </c>
      <c r="D158" s="92" t="s">
        <v>313</v>
      </c>
      <c r="E158" s="54" t="s">
        <v>314</v>
      </c>
      <c r="F158" s="54" t="s">
        <v>315</v>
      </c>
      <c r="G158" s="48"/>
      <c r="H158" s="48"/>
      <c r="I158" s="48"/>
      <c r="J158" s="48"/>
      <c r="K158" s="48"/>
      <c r="L158" s="59" t="s">
        <v>115</v>
      </c>
      <c r="M158" s="60"/>
      <c r="N158" s="60"/>
      <c r="O158" s="10"/>
    </row>
    <row r="159" spans="1:15" ht="20.25" customHeight="1" outlineLevel="1">
      <c r="A159" s="90"/>
      <c r="B159" s="90"/>
      <c r="C159" s="98"/>
      <c r="D159" s="98"/>
      <c r="E159" s="54" t="s">
        <v>378</v>
      </c>
      <c r="F159" s="54" t="s">
        <v>379</v>
      </c>
      <c r="G159" s="48" t="s">
        <v>392</v>
      </c>
      <c r="H159" s="48"/>
      <c r="I159" s="48"/>
      <c r="J159" s="48"/>
      <c r="K159" s="48"/>
      <c r="L159" s="59" t="s">
        <v>115</v>
      </c>
      <c r="M159" s="60"/>
      <c r="N159" s="60"/>
      <c r="O159" s="10"/>
    </row>
    <row r="160" spans="1:15" ht="28.5" outlineLevel="1">
      <c r="A160" s="48">
        <v>3</v>
      </c>
      <c r="B160" s="48" t="str">
        <f>SUBSTITUTE(CONCATENATE((_xlfn.NUMBERVALUE(B158,".")+0.0001),IF(RIGHT(B158,2)="90","00","0")),",",".")</f>
        <v>3.02080</v>
      </c>
      <c r="C160" s="55" t="s">
        <v>393</v>
      </c>
      <c r="D160" s="55" t="s">
        <v>394</v>
      </c>
      <c r="E160" s="54" t="s">
        <v>232</v>
      </c>
      <c r="F160" s="54" t="s">
        <v>233</v>
      </c>
      <c r="G160" s="48"/>
      <c r="H160" s="48"/>
      <c r="I160" s="48"/>
      <c r="J160" s="48"/>
      <c r="K160" s="48"/>
      <c r="L160" s="59" t="s">
        <v>115</v>
      </c>
      <c r="M160" s="60"/>
      <c r="N160" s="60"/>
      <c r="O160" s="10"/>
    </row>
    <row r="161" spans="1:15" ht="42.75" outlineLevel="1">
      <c r="A161" s="48">
        <v>3</v>
      </c>
      <c r="B161" s="48" t="str">
        <f>SUBSTITUTE(CONCATENATE((_xlfn.NUMBERVALUE(B160,".")+0.0001),IF(RIGHT(B160,2)="90","00","0")),",",".")</f>
        <v>3.02090</v>
      </c>
      <c r="C161" s="55" t="s">
        <v>395</v>
      </c>
      <c r="D161" s="55" t="s">
        <v>396</v>
      </c>
      <c r="E161" s="54" t="s">
        <v>378</v>
      </c>
      <c r="F161" s="54" t="s">
        <v>379</v>
      </c>
      <c r="G161" s="48" t="s">
        <v>397</v>
      </c>
      <c r="H161" s="48"/>
      <c r="I161" s="48"/>
      <c r="J161" s="48"/>
      <c r="K161" s="48"/>
      <c r="L161" s="59" t="s">
        <v>115</v>
      </c>
      <c r="M161" s="60"/>
      <c r="N161" s="60"/>
      <c r="O161" s="10"/>
    </row>
    <row r="162" spans="1:15" ht="42.75" outlineLevel="1">
      <c r="A162" s="48">
        <v>3</v>
      </c>
      <c r="B162" s="48" t="str">
        <f>SUBSTITUTE(CONCATENATE((_xlfn.NUMBERVALUE(B161,".")+0.0001),IF(RIGHT(B161,2)="90","00","0")),",",".")</f>
        <v>3.02100</v>
      </c>
      <c r="C162" s="55" t="s">
        <v>398</v>
      </c>
      <c r="D162" s="55" t="s">
        <v>399</v>
      </c>
      <c r="E162" s="54" t="s">
        <v>232</v>
      </c>
      <c r="F162" s="54" t="s">
        <v>233</v>
      </c>
      <c r="G162" s="48"/>
      <c r="H162" s="48"/>
      <c r="I162" s="48"/>
      <c r="J162" s="48"/>
      <c r="K162" s="48"/>
      <c r="L162" s="59" t="s">
        <v>115</v>
      </c>
      <c r="M162" s="60"/>
      <c r="N162" s="60"/>
      <c r="O162" s="10"/>
    </row>
    <row r="163" spans="1:15" s="58" customFormat="1" ht="15.75">
      <c r="A163" s="49">
        <v>4</v>
      </c>
      <c r="B163" s="47" t="s">
        <v>400</v>
      </c>
      <c r="C163" s="65" t="s">
        <v>401</v>
      </c>
      <c r="D163" s="65" t="s">
        <v>402</v>
      </c>
      <c r="E163" s="66"/>
      <c r="F163" s="66"/>
      <c r="G163" s="47"/>
      <c r="H163" s="47"/>
      <c r="I163" s="47"/>
      <c r="J163" s="47"/>
      <c r="K163" s="47"/>
      <c r="L163" s="57" t="s">
        <v>64</v>
      </c>
      <c r="M163" s="57" t="s">
        <v>65</v>
      </c>
      <c r="N163" s="60"/>
      <c r="O163" s="12" t="s">
        <v>66</v>
      </c>
    </row>
    <row r="164" spans="1:15" ht="93" customHeight="1">
      <c r="A164" s="45">
        <v>4</v>
      </c>
      <c r="B164" s="45" t="s">
        <v>403</v>
      </c>
      <c r="C164" s="50" t="s">
        <v>404</v>
      </c>
      <c r="D164" s="50" t="s">
        <v>405</v>
      </c>
      <c r="E164" s="50"/>
      <c r="F164" s="50"/>
      <c r="G164" s="45"/>
      <c r="H164" s="45"/>
      <c r="I164" s="45"/>
      <c r="J164" s="45" t="s">
        <v>406</v>
      </c>
      <c r="K164" s="62" t="s">
        <v>407</v>
      </c>
      <c r="L164" s="57" t="s">
        <v>64</v>
      </c>
      <c r="M164" s="57" t="s">
        <v>65</v>
      </c>
      <c r="N164" s="60"/>
      <c r="O164" s="10" t="s">
        <v>72</v>
      </c>
    </row>
    <row r="165" spans="1:15" ht="99.75" outlineLevel="1">
      <c r="A165" s="46">
        <v>4</v>
      </c>
      <c r="B165" s="46" t="str">
        <f t="shared" ref="B165:B201" si="10">SUBSTITUTE(CONCATENATE((_xlfn.NUMBERVALUE(B164,".")+0.0001),IF(RIGHT(B164,2)="90","00","0")),",",".")</f>
        <v>4.01010</v>
      </c>
      <c r="C165" s="53" t="s">
        <v>73</v>
      </c>
      <c r="D165" s="53" t="s">
        <v>74</v>
      </c>
      <c r="E165" s="53"/>
      <c r="F165" s="53"/>
      <c r="G165" s="46"/>
      <c r="H165" s="46"/>
      <c r="I165" s="46"/>
      <c r="J165" s="46"/>
      <c r="K165" s="46"/>
      <c r="L165" s="59" t="s">
        <v>78</v>
      </c>
      <c r="M165" s="60" t="s">
        <v>79</v>
      </c>
      <c r="N165" s="60"/>
      <c r="O165" s="10"/>
    </row>
    <row r="166" spans="1:15" ht="42.75" outlineLevel="1">
      <c r="A166" s="48">
        <v>4</v>
      </c>
      <c r="B166" s="48" t="str">
        <f t="shared" si="10"/>
        <v>4.01020</v>
      </c>
      <c r="C166" s="55" t="s">
        <v>408</v>
      </c>
      <c r="D166" s="55" t="s">
        <v>409</v>
      </c>
      <c r="E166" s="54" t="s">
        <v>410</v>
      </c>
      <c r="F166" s="54" t="s">
        <v>411</v>
      </c>
      <c r="G166" s="48"/>
      <c r="H166" s="48"/>
      <c r="I166" s="48"/>
      <c r="J166" s="48"/>
      <c r="K166" s="48"/>
      <c r="L166" s="59" t="s">
        <v>78</v>
      </c>
      <c r="M166" s="60" t="s">
        <v>79</v>
      </c>
      <c r="N166" s="60"/>
      <c r="O166" s="10"/>
    </row>
    <row r="167" spans="1:15" ht="33" customHeight="1" outlineLevel="1">
      <c r="A167" s="48">
        <v>4</v>
      </c>
      <c r="B167" s="48" t="str">
        <f t="shared" si="10"/>
        <v>4.01030</v>
      </c>
      <c r="C167" s="55" t="s">
        <v>312</v>
      </c>
      <c r="D167" s="55" t="s">
        <v>313</v>
      </c>
      <c r="E167" s="54" t="s">
        <v>90</v>
      </c>
      <c r="F167" s="54" t="s">
        <v>91</v>
      </c>
      <c r="G167" s="48"/>
      <c r="H167" s="48"/>
      <c r="I167" s="48"/>
      <c r="J167" s="48"/>
      <c r="K167" s="48"/>
      <c r="L167" s="59" t="s">
        <v>78</v>
      </c>
      <c r="M167" s="60" t="s">
        <v>79</v>
      </c>
      <c r="N167" s="60"/>
      <c r="O167" s="10"/>
    </row>
    <row r="168" spans="1:15" ht="51" customHeight="1" outlineLevel="1">
      <c r="A168" s="48">
        <v>4</v>
      </c>
      <c r="B168" s="48" t="str">
        <f>SUBSTITUTE(CONCATENATE((_xlfn.NUMBERVALUE(B167,".")+0.0001),IF(RIGHT(B167,2)="90","00","0")),",",".")</f>
        <v>4.01040</v>
      </c>
      <c r="C168" s="55" t="s">
        <v>412</v>
      </c>
      <c r="D168" s="55" t="s">
        <v>413</v>
      </c>
      <c r="E168" s="54" t="s">
        <v>414</v>
      </c>
      <c r="F168" s="54" t="s">
        <v>415</v>
      </c>
      <c r="G168" s="48"/>
      <c r="H168" s="48"/>
      <c r="I168" s="48"/>
      <c r="J168" s="48"/>
      <c r="K168" s="48"/>
      <c r="L168" s="59" t="s">
        <v>78</v>
      </c>
      <c r="M168" s="60" t="s">
        <v>79</v>
      </c>
      <c r="N168" s="60"/>
      <c r="O168" s="10"/>
    </row>
    <row r="169" spans="1:15" ht="31.5" customHeight="1" outlineLevel="1">
      <c r="A169" s="48">
        <v>4</v>
      </c>
      <c r="B169" s="48" t="str">
        <f>SUBSTITUTE(CONCATENATE((_xlfn.NUMBERVALUE(B168,".")+0.0001),IF(RIGHT(B168,2)="90","00","0")),",",".")</f>
        <v>4.01050</v>
      </c>
      <c r="C169" s="55" t="s">
        <v>416</v>
      </c>
      <c r="D169" s="55" t="s">
        <v>417</v>
      </c>
      <c r="E169" s="54" t="s">
        <v>184</v>
      </c>
      <c r="F169" s="54" t="s">
        <v>185</v>
      </c>
      <c r="G169" s="48"/>
      <c r="H169" s="48"/>
      <c r="I169" s="48"/>
      <c r="J169" s="48"/>
      <c r="K169" s="48"/>
      <c r="L169" s="59" t="s">
        <v>78</v>
      </c>
      <c r="M169" s="60" t="s">
        <v>79</v>
      </c>
      <c r="N169" s="60"/>
      <c r="O169" s="10"/>
    </row>
    <row r="170" spans="1:15" ht="33" customHeight="1" outlineLevel="1">
      <c r="A170" s="48">
        <v>4</v>
      </c>
      <c r="B170" s="48" t="str">
        <f>SUBSTITUTE(CONCATENATE((_xlfn.NUMBERVALUE(B169,".")+0.0001),IF(RIGHT(B169,2)="90","00","0")),",",".")</f>
        <v>4.01060</v>
      </c>
      <c r="C170" s="55" t="s">
        <v>418</v>
      </c>
      <c r="D170" s="55" t="s">
        <v>419</v>
      </c>
      <c r="E170" s="54" t="s">
        <v>420</v>
      </c>
      <c r="F170" s="54" t="s">
        <v>421</v>
      </c>
      <c r="G170" s="48"/>
      <c r="H170" s="48"/>
      <c r="I170" s="48"/>
      <c r="J170" s="48"/>
      <c r="K170" s="48"/>
      <c r="L170" s="59" t="s">
        <v>78</v>
      </c>
      <c r="M170" s="60" t="s">
        <v>79</v>
      </c>
      <c r="N170" s="60"/>
      <c r="O170" s="10"/>
    </row>
    <row r="171" spans="1:15" ht="142.5">
      <c r="A171" s="45">
        <v>4</v>
      </c>
      <c r="B171" s="45" t="s">
        <v>422</v>
      </c>
      <c r="C171" s="50" t="s">
        <v>423</v>
      </c>
      <c r="D171" s="50" t="s">
        <v>424</v>
      </c>
      <c r="E171" s="50"/>
      <c r="F171" s="50"/>
      <c r="G171" s="45"/>
      <c r="H171" s="45"/>
      <c r="I171" s="45"/>
      <c r="J171" s="45" t="s">
        <v>406</v>
      </c>
      <c r="K171" s="62" t="s">
        <v>407</v>
      </c>
      <c r="L171" s="57" t="s">
        <v>64</v>
      </c>
      <c r="M171" s="57" t="s">
        <v>65</v>
      </c>
      <c r="N171" s="60"/>
      <c r="O171" s="10" t="s">
        <v>72</v>
      </c>
    </row>
    <row r="172" spans="1:15" ht="99.75" outlineLevel="1">
      <c r="A172" s="46">
        <v>4</v>
      </c>
      <c r="B172" s="46" t="str">
        <f t="shared" si="10"/>
        <v>4.02010</v>
      </c>
      <c r="C172" s="53" t="s">
        <v>73</v>
      </c>
      <c r="D172" s="53" t="s">
        <v>74</v>
      </c>
      <c r="E172" s="53"/>
      <c r="F172" s="53"/>
      <c r="G172" s="46"/>
      <c r="H172" s="46"/>
      <c r="I172" s="46"/>
      <c r="J172" s="46"/>
      <c r="K172" s="46"/>
      <c r="L172" s="59" t="s">
        <v>78</v>
      </c>
      <c r="M172" s="60" t="s">
        <v>79</v>
      </c>
      <c r="N172" s="60"/>
      <c r="O172" s="10"/>
    </row>
    <row r="173" spans="1:15" ht="22.5" customHeight="1" outlineLevel="1">
      <c r="A173" s="105">
        <v>4</v>
      </c>
      <c r="B173" s="105" t="str">
        <f>SUBSTITUTE(CONCATENATE((_xlfn.NUMBERVALUE(B172,".")+0.0001),IF(RIGHT(B172,2)="90","00","0")),",",".")</f>
        <v>4.02020</v>
      </c>
      <c r="C173" s="106" t="s">
        <v>412</v>
      </c>
      <c r="D173" s="106" t="s">
        <v>413</v>
      </c>
      <c r="E173" s="54" t="s">
        <v>425</v>
      </c>
      <c r="F173" s="54" t="s">
        <v>426</v>
      </c>
      <c r="G173" s="48"/>
      <c r="H173" s="48"/>
      <c r="I173" s="48"/>
      <c r="J173" s="48"/>
      <c r="K173" s="48"/>
      <c r="L173" s="59" t="s">
        <v>78</v>
      </c>
      <c r="M173" s="60" t="s">
        <v>79</v>
      </c>
      <c r="N173" s="60"/>
      <c r="O173" s="10"/>
    </row>
    <row r="174" spans="1:15" ht="21" customHeight="1" outlineLevel="1">
      <c r="A174" s="90"/>
      <c r="B174" s="90"/>
      <c r="C174" s="98"/>
      <c r="D174" s="98"/>
      <c r="E174" s="54" t="s">
        <v>427</v>
      </c>
      <c r="F174" s="54" t="s">
        <v>428</v>
      </c>
      <c r="G174" s="48"/>
      <c r="H174" s="48"/>
      <c r="I174" s="48"/>
      <c r="J174" s="48"/>
      <c r="K174" s="48"/>
      <c r="L174" s="59" t="s">
        <v>78</v>
      </c>
      <c r="M174" s="60" t="s">
        <v>79</v>
      </c>
      <c r="N174" s="60"/>
      <c r="O174" s="10"/>
    </row>
    <row r="175" spans="1:15" ht="42.75" outlineLevel="1">
      <c r="A175" s="48">
        <v>4</v>
      </c>
      <c r="B175" s="48" t="str">
        <f>SUBSTITUTE(CONCATENATE((_xlfn.NUMBERVALUE(B173,".")+0.0001),IF(RIGHT(B173,2)="90","00","0")),",",".")</f>
        <v>4.02030</v>
      </c>
      <c r="C175" s="55" t="s">
        <v>408</v>
      </c>
      <c r="D175" s="55" t="s">
        <v>409</v>
      </c>
      <c r="E175" s="54" t="s">
        <v>410</v>
      </c>
      <c r="F175" s="54" t="s">
        <v>411</v>
      </c>
      <c r="G175" s="48"/>
      <c r="H175" s="48"/>
      <c r="I175" s="48"/>
      <c r="J175" s="48"/>
      <c r="K175" s="48"/>
      <c r="L175" s="59" t="s">
        <v>78</v>
      </c>
      <c r="M175" s="60" t="s">
        <v>79</v>
      </c>
      <c r="N175" s="60"/>
      <c r="O175" s="10"/>
    </row>
    <row r="176" spans="1:15" ht="20.25" customHeight="1" outlineLevel="1">
      <c r="A176" s="89">
        <v>4</v>
      </c>
      <c r="B176" s="89" t="str">
        <f t="shared" si="10"/>
        <v>4.02040</v>
      </c>
      <c r="C176" s="92" t="s">
        <v>312</v>
      </c>
      <c r="D176" s="92" t="s">
        <v>313</v>
      </c>
      <c r="E176" s="54" t="s">
        <v>90</v>
      </c>
      <c r="F176" s="54" t="s">
        <v>91</v>
      </c>
      <c r="G176" s="48"/>
      <c r="H176" s="48"/>
      <c r="I176" s="48"/>
      <c r="J176" s="48"/>
      <c r="K176" s="48"/>
      <c r="L176" s="59" t="s">
        <v>78</v>
      </c>
      <c r="M176" s="60" t="s">
        <v>79</v>
      </c>
      <c r="N176" s="60"/>
      <c r="O176" s="10"/>
    </row>
    <row r="177" spans="1:15" ht="48" customHeight="1" outlineLevel="1">
      <c r="A177" s="91"/>
      <c r="B177" s="91"/>
      <c r="C177" s="93"/>
      <c r="D177" s="93"/>
      <c r="E177" s="54" t="s">
        <v>414</v>
      </c>
      <c r="F177" s="54" t="s">
        <v>415</v>
      </c>
      <c r="G177" s="48"/>
      <c r="H177" s="48"/>
      <c r="I177" s="48"/>
      <c r="J177" s="48"/>
      <c r="K177" s="48"/>
      <c r="L177" s="59" t="s">
        <v>78</v>
      </c>
      <c r="M177" s="60" t="s">
        <v>79</v>
      </c>
      <c r="N177" s="60"/>
      <c r="O177" s="10"/>
    </row>
    <row r="178" spans="1:15" ht="22.5" customHeight="1" outlineLevel="1">
      <c r="A178" s="90"/>
      <c r="B178" s="90"/>
      <c r="C178" s="98"/>
      <c r="D178" s="98"/>
      <c r="E178" s="54" t="s">
        <v>429</v>
      </c>
      <c r="F178" s="54" t="s">
        <v>430</v>
      </c>
      <c r="G178" s="48"/>
      <c r="H178" s="48"/>
      <c r="I178" s="48"/>
      <c r="J178" s="48"/>
      <c r="K178" s="48"/>
      <c r="L178" s="59" t="s">
        <v>78</v>
      </c>
      <c r="M178" s="60" t="s">
        <v>79</v>
      </c>
      <c r="N178" s="60"/>
      <c r="O178" s="10"/>
    </row>
    <row r="179" spans="1:15" ht="31.5" customHeight="1" outlineLevel="1">
      <c r="A179" s="75">
        <v>4</v>
      </c>
      <c r="B179" s="75" t="str">
        <f>SUBSTITUTE(CONCATENATE((_xlfn.NUMBERVALUE(B176,".")+0.0001),IF(RIGHT(B176,2)="90","00","0")),",",".")</f>
        <v>4.02050</v>
      </c>
      <c r="C179" s="55" t="s">
        <v>416</v>
      </c>
      <c r="D179" s="55" t="s">
        <v>417</v>
      </c>
      <c r="E179" s="54" t="s">
        <v>184</v>
      </c>
      <c r="F179" s="54" t="s">
        <v>185</v>
      </c>
      <c r="G179" s="48"/>
      <c r="H179" s="48"/>
      <c r="I179" s="48"/>
      <c r="J179" s="48"/>
      <c r="K179" s="48"/>
      <c r="L179" s="59" t="s">
        <v>78</v>
      </c>
      <c r="M179" s="60" t="s">
        <v>79</v>
      </c>
      <c r="N179" s="60"/>
      <c r="O179" s="10"/>
    </row>
    <row r="180" spans="1:15" ht="28.5" customHeight="1" outlineLevel="1">
      <c r="A180" s="72">
        <v>4</v>
      </c>
      <c r="B180" s="72" t="str">
        <f>SUBSTITUTE(CONCATENATE((_xlfn.NUMBERVALUE(B179,".")+0.0001),IF(RIGHT(B179,2)="90","00","0")),",",".")</f>
        <v>4.02060</v>
      </c>
      <c r="C180" s="73" t="s">
        <v>418</v>
      </c>
      <c r="D180" s="73" t="s">
        <v>419</v>
      </c>
      <c r="E180" s="54" t="s">
        <v>420</v>
      </c>
      <c r="F180" s="54" t="s">
        <v>421</v>
      </c>
      <c r="G180" s="48"/>
      <c r="H180" s="48"/>
      <c r="I180" s="48"/>
      <c r="J180" s="48"/>
      <c r="K180" s="48"/>
      <c r="L180" s="59" t="s">
        <v>78</v>
      </c>
      <c r="M180" s="60" t="s">
        <v>79</v>
      </c>
      <c r="N180" s="60"/>
      <c r="O180" s="10"/>
    </row>
    <row r="181" spans="1:15" ht="99.75">
      <c r="A181" s="45">
        <v>4</v>
      </c>
      <c r="B181" s="45" t="s">
        <v>431</v>
      </c>
      <c r="C181" s="50" t="s">
        <v>432</v>
      </c>
      <c r="D181" s="50" t="s">
        <v>433</v>
      </c>
      <c r="E181" s="50"/>
      <c r="F181" s="50"/>
      <c r="G181" s="45"/>
      <c r="H181" s="45"/>
      <c r="I181" s="45"/>
      <c r="J181" s="45" t="s">
        <v>406</v>
      </c>
      <c r="K181" s="62" t="s">
        <v>434</v>
      </c>
      <c r="L181" s="57" t="s">
        <v>64</v>
      </c>
      <c r="M181" s="57" t="s">
        <v>65</v>
      </c>
      <c r="N181" s="60"/>
      <c r="O181" s="10" t="s">
        <v>72</v>
      </c>
    </row>
    <row r="182" spans="1:15" ht="99.75" outlineLevel="1">
      <c r="A182" s="46">
        <v>4</v>
      </c>
      <c r="B182" s="46" t="str">
        <f t="shared" si="10"/>
        <v>4.03010</v>
      </c>
      <c r="C182" s="53" t="s">
        <v>73</v>
      </c>
      <c r="D182" s="53" t="s">
        <v>74</v>
      </c>
      <c r="E182" s="53"/>
      <c r="F182" s="53"/>
      <c r="G182" s="46"/>
      <c r="H182" s="46"/>
      <c r="I182" s="46"/>
      <c r="J182" s="46"/>
      <c r="K182" s="46"/>
      <c r="L182" s="59" t="s">
        <v>78</v>
      </c>
      <c r="M182" s="60" t="s">
        <v>79</v>
      </c>
      <c r="N182" s="60"/>
      <c r="O182" s="10"/>
    </row>
    <row r="183" spans="1:15" ht="42.75" outlineLevel="1">
      <c r="A183" s="48">
        <v>4</v>
      </c>
      <c r="B183" s="48" t="str">
        <f t="shared" si="10"/>
        <v>4.03020</v>
      </c>
      <c r="C183" s="55" t="s">
        <v>408</v>
      </c>
      <c r="D183" s="55" t="s">
        <v>409</v>
      </c>
      <c r="E183" s="54" t="s">
        <v>410</v>
      </c>
      <c r="F183" s="54" t="s">
        <v>411</v>
      </c>
      <c r="G183" s="48"/>
      <c r="H183" s="48"/>
      <c r="I183" s="48"/>
      <c r="J183" s="48"/>
      <c r="K183" s="48"/>
      <c r="L183" s="59" t="s">
        <v>78</v>
      </c>
      <c r="M183" s="60" t="s">
        <v>79</v>
      </c>
      <c r="N183" s="60"/>
      <c r="O183" s="10"/>
    </row>
    <row r="184" spans="1:15" ht="31.5" customHeight="1" outlineLevel="1">
      <c r="A184" s="48">
        <v>4</v>
      </c>
      <c r="B184" s="48" t="str">
        <f t="shared" si="10"/>
        <v>4.03030</v>
      </c>
      <c r="C184" s="55" t="s">
        <v>312</v>
      </c>
      <c r="D184" s="55" t="s">
        <v>313</v>
      </c>
      <c r="E184" s="54" t="s">
        <v>90</v>
      </c>
      <c r="F184" s="54" t="s">
        <v>91</v>
      </c>
      <c r="G184" s="48"/>
      <c r="H184" s="48"/>
      <c r="I184" s="48"/>
      <c r="J184" s="48"/>
      <c r="K184" s="48"/>
      <c r="L184" s="59" t="s">
        <v>78</v>
      </c>
      <c r="M184" s="60" t="s">
        <v>79</v>
      </c>
      <c r="N184" s="60"/>
      <c r="O184" s="10"/>
    </row>
    <row r="185" spans="1:15" ht="49.5" customHeight="1" outlineLevel="1">
      <c r="A185" s="48">
        <v>4</v>
      </c>
      <c r="B185" s="48" t="str">
        <f t="shared" si="10"/>
        <v>4.03040</v>
      </c>
      <c r="C185" s="55" t="s">
        <v>435</v>
      </c>
      <c r="D185" s="55" t="s">
        <v>436</v>
      </c>
      <c r="E185" s="54" t="s">
        <v>437</v>
      </c>
      <c r="F185" s="54" t="s">
        <v>438</v>
      </c>
      <c r="G185" s="48"/>
      <c r="H185" s="48"/>
      <c r="I185" s="48"/>
      <c r="J185" s="48"/>
      <c r="K185" s="48"/>
      <c r="L185" s="59" t="s">
        <v>78</v>
      </c>
      <c r="M185" s="60" t="s">
        <v>79</v>
      </c>
      <c r="N185" s="60"/>
      <c r="O185" s="10"/>
    </row>
    <row r="186" spans="1:15" ht="31.5" customHeight="1" outlineLevel="1">
      <c r="A186" s="48">
        <v>4</v>
      </c>
      <c r="B186" s="48" t="str">
        <f>SUBSTITUTE(CONCATENATE((_xlfn.NUMBERVALUE(B185,".")+0.0001),IF(RIGHT(B185,2)="90","00","0")),",",".")</f>
        <v>4.03050</v>
      </c>
      <c r="C186" s="55" t="s">
        <v>416</v>
      </c>
      <c r="D186" s="55" t="s">
        <v>417</v>
      </c>
      <c r="E186" s="54" t="s">
        <v>184</v>
      </c>
      <c r="F186" s="54" t="s">
        <v>185</v>
      </c>
      <c r="G186" s="48"/>
      <c r="H186" s="48"/>
      <c r="I186" s="48"/>
      <c r="J186" s="48"/>
      <c r="K186" s="48"/>
      <c r="L186" s="59" t="s">
        <v>78</v>
      </c>
      <c r="M186" s="60" t="s">
        <v>79</v>
      </c>
      <c r="N186" s="60"/>
      <c r="O186" s="10"/>
    </row>
    <row r="187" spans="1:15" ht="34.5" customHeight="1" outlineLevel="1">
      <c r="A187" s="48">
        <v>4</v>
      </c>
      <c r="B187" s="48" t="str">
        <f>SUBSTITUTE(CONCATENATE((_xlfn.NUMBERVALUE(B186,".")+0.0001),IF(RIGHT(B186,2)="90","00","0")),",",".")</f>
        <v>4.03060</v>
      </c>
      <c r="C187" s="55" t="s">
        <v>418</v>
      </c>
      <c r="D187" s="55" t="s">
        <v>419</v>
      </c>
      <c r="E187" s="54" t="s">
        <v>420</v>
      </c>
      <c r="F187" s="54" t="s">
        <v>421</v>
      </c>
      <c r="G187" s="48"/>
      <c r="H187" s="48"/>
      <c r="I187" s="48"/>
      <c r="J187" s="48"/>
      <c r="K187" s="48"/>
      <c r="L187" s="59" t="s">
        <v>78</v>
      </c>
      <c r="M187" s="60" t="s">
        <v>79</v>
      </c>
      <c r="N187" s="60"/>
      <c r="O187" s="10"/>
    </row>
    <row r="188" spans="1:15" ht="142.5">
      <c r="A188" s="45">
        <v>4</v>
      </c>
      <c r="B188" s="45" t="s">
        <v>439</v>
      </c>
      <c r="C188" s="50" t="s">
        <v>440</v>
      </c>
      <c r="D188" s="50" t="s">
        <v>441</v>
      </c>
      <c r="E188" s="50"/>
      <c r="F188" s="50"/>
      <c r="G188" s="45"/>
      <c r="H188" s="45"/>
      <c r="I188" s="45"/>
      <c r="J188" s="45" t="s">
        <v>406</v>
      </c>
      <c r="K188" s="62" t="s">
        <v>434</v>
      </c>
      <c r="L188" s="57" t="s">
        <v>64</v>
      </c>
      <c r="M188" s="57" t="s">
        <v>65</v>
      </c>
      <c r="N188" s="60"/>
      <c r="O188" s="10" t="s">
        <v>72</v>
      </c>
    </row>
    <row r="189" spans="1:15" ht="99.75" outlineLevel="1">
      <c r="A189" s="46">
        <v>4</v>
      </c>
      <c r="B189" s="46" t="str">
        <f t="shared" si="10"/>
        <v>4.04010</v>
      </c>
      <c r="C189" s="53" t="s">
        <v>73</v>
      </c>
      <c r="D189" s="53" t="s">
        <v>74</v>
      </c>
      <c r="E189" s="53"/>
      <c r="F189" s="53"/>
      <c r="G189" s="46"/>
      <c r="H189" s="46"/>
      <c r="I189" s="46"/>
      <c r="J189" s="46"/>
      <c r="K189" s="46"/>
      <c r="L189" s="59" t="s">
        <v>78</v>
      </c>
      <c r="M189" s="60" t="s">
        <v>79</v>
      </c>
      <c r="N189" s="60"/>
      <c r="O189" s="10"/>
    </row>
    <row r="190" spans="1:15" ht="22.5" customHeight="1" outlineLevel="1">
      <c r="A190" s="96">
        <v>4</v>
      </c>
      <c r="B190" s="96" t="str">
        <f>SUBSTITUTE(CONCATENATE((_xlfn.NUMBERVALUE(B189,".")+0.0001),IF(RIGHT(B189,2)="90","00","0")),",",".")</f>
        <v>4.04020</v>
      </c>
      <c r="C190" s="97" t="s">
        <v>435</v>
      </c>
      <c r="D190" s="97" t="s">
        <v>436</v>
      </c>
      <c r="E190" s="54" t="s">
        <v>425</v>
      </c>
      <c r="F190" s="54" t="s">
        <v>426</v>
      </c>
      <c r="G190" s="48"/>
      <c r="H190" s="48"/>
      <c r="I190" s="48"/>
      <c r="J190" s="48"/>
      <c r="K190" s="48"/>
      <c r="L190" s="59" t="s">
        <v>78</v>
      </c>
      <c r="M190" s="60" t="s">
        <v>79</v>
      </c>
      <c r="N190" s="60"/>
      <c r="O190" s="10"/>
    </row>
    <row r="191" spans="1:15" ht="21" customHeight="1" outlineLevel="1">
      <c r="A191" s="96"/>
      <c r="B191" s="96"/>
      <c r="C191" s="97"/>
      <c r="D191" s="97"/>
      <c r="E191" s="54" t="s">
        <v>427</v>
      </c>
      <c r="F191" s="54" t="s">
        <v>428</v>
      </c>
      <c r="G191" s="48"/>
      <c r="H191" s="48"/>
      <c r="I191" s="48"/>
      <c r="J191" s="48"/>
      <c r="K191" s="48"/>
      <c r="L191" s="59" t="s">
        <v>78</v>
      </c>
      <c r="M191" s="60" t="s">
        <v>79</v>
      </c>
      <c r="N191" s="60"/>
      <c r="O191" s="10"/>
    </row>
    <row r="192" spans="1:15" ht="42.75" outlineLevel="1">
      <c r="A192" s="48">
        <v>4</v>
      </c>
      <c r="B192" s="48" t="str">
        <f>SUBSTITUTE(CONCATENATE((_xlfn.NUMBERVALUE(B190,".")+0.0001),IF(RIGHT(B190,2)="90","00","0")),",",".")</f>
        <v>4.04030</v>
      </c>
      <c r="C192" s="55" t="s">
        <v>408</v>
      </c>
      <c r="D192" s="55" t="s">
        <v>409</v>
      </c>
      <c r="E192" s="54" t="s">
        <v>410</v>
      </c>
      <c r="F192" s="54" t="s">
        <v>411</v>
      </c>
      <c r="G192" s="48"/>
      <c r="H192" s="48"/>
      <c r="I192" s="48"/>
      <c r="J192" s="48"/>
      <c r="K192" s="48"/>
      <c r="L192" s="59" t="s">
        <v>78</v>
      </c>
      <c r="M192" s="60" t="s">
        <v>79</v>
      </c>
      <c r="N192" s="60"/>
      <c r="O192" s="10"/>
    </row>
    <row r="193" spans="1:15" ht="22.5" customHeight="1" outlineLevel="1">
      <c r="A193" s="96">
        <v>4</v>
      </c>
      <c r="B193" s="96" t="str">
        <f t="shared" si="10"/>
        <v>4.04040</v>
      </c>
      <c r="C193" s="97" t="s">
        <v>312</v>
      </c>
      <c r="D193" s="97" t="s">
        <v>313</v>
      </c>
      <c r="E193" s="54" t="s">
        <v>90</v>
      </c>
      <c r="F193" s="54" t="s">
        <v>91</v>
      </c>
      <c r="G193" s="48"/>
      <c r="H193" s="48"/>
      <c r="I193" s="48"/>
      <c r="J193" s="48"/>
      <c r="K193" s="48"/>
      <c r="L193" s="59" t="s">
        <v>78</v>
      </c>
      <c r="M193" s="60" t="s">
        <v>79</v>
      </c>
      <c r="N193" s="60"/>
      <c r="O193" s="10"/>
    </row>
    <row r="194" spans="1:15" ht="48" customHeight="1" outlineLevel="1">
      <c r="A194" s="96"/>
      <c r="B194" s="96"/>
      <c r="C194" s="97"/>
      <c r="D194" s="97"/>
      <c r="E194" s="54" t="s">
        <v>437</v>
      </c>
      <c r="F194" s="54" t="s">
        <v>438</v>
      </c>
      <c r="G194" s="48"/>
      <c r="H194" s="48"/>
      <c r="I194" s="48"/>
      <c r="J194" s="48"/>
      <c r="K194" s="48"/>
      <c r="L194" s="59" t="s">
        <v>78</v>
      </c>
      <c r="M194" s="60" t="s">
        <v>79</v>
      </c>
      <c r="N194" s="60"/>
      <c r="O194" s="10"/>
    </row>
    <row r="195" spans="1:15" ht="21" customHeight="1" outlineLevel="1">
      <c r="A195" s="96"/>
      <c r="B195" s="96"/>
      <c r="C195" s="97"/>
      <c r="D195" s="97"/>
      <c r="E195" s="54" t="s">
        <v>429</v>
      </c>
      <c r="F195" s="54" t="s">
        <v>430</v>
      </c>
      <c r="G195" s="48"/>
      <c r="H195" s="48"/>
      <c r="I195" s="48"/>
      <c r="J195" s="48"/>
      <c r="K195" s="48"/>
      <c r="L195" s="59" t="s">
        <v>78</v>
      </c>
      <c r="M195" s="60" t="s">
        <v>79</v>
      </c>
      <c r="N195" s="60"/>
      <c r="O195" s="10"/>
    </row>
    <row r="196" spans="1:15" ht="31.5" customHeight="1" outlineLevel="1">
      <c r="A196" s="48">
        <v>4</v>
      </c>
      <c r="B196" s="48" t="str">
        <f>SUBSTITUTE(CONCATENATE((_xlfn.NUMBERVALUE(B193,".")+0.0001),IF(RIGHT(B193,2)="90","00","0")),",",".")</f>
        <v>4.04050</v>
      </c>
      <c r="C196" s="55" t="s">
        <v>416</v>
      </c>
      <c r="D196" s="55" t="s">
        <v>417</v>
      </c>
      <c r="E196" s="54" t="s">
        <v>184</v>
      </c>
      <c r="F196" s="54" t="s">
        <v>185</v>
      </c>
      <c r="G196" s="48"/>
      <c r="H196" s="48"/>
      <c r="I196" s="48"/>
      <c r="J196" s="48"/>
      <c r="K196" s="48"/>
      <c r="L196" s="59" t="s">
        <v>78</v>
      </c>
      <c r="M196" s="60" t="s">
        <v>79</v>
      </c>
      <c r="N196" s="60"/>
      <c r="O196" s="10"/>
    </row>
    <row r="197" spans="1:15" ht="36.75" customHeight="1" outlineLevel="1">
      <c r="A197" s="48">
        <v>4</v>
      </c>
      <c r="B197" s="48" t="str">
        <f>SUBSTITUTE(CONCATENATE((_xlfn.NUMBERVALUE(B196,".")+0.0001),IF(RIGHT(B196,2)="90","00","0")),",",".")</f>
        <v>4.04060</v>
      </c>
      <c r="C197" s="55" t="s">
        <v>418</v>
      </c>
      <c r="D197" s="55" t="s">
        <v>419</v>
      </c>
      <c r="E197" s="54" t="s">
        <v>420</v>
      </c>
      <c r="F197" s="54" t="s">
        <v>421</v>
      </c>
      <c r="G197" s="48"/>
      <c r="H197" s="48"/>
      <c r="I197" s="48"/>
      <c r="J197" s="48"/>
      <c r="K197" s="48"/>
      <c r="L197" s="59" t="s">
        <v>78</v>
      </c>
      <c r="M197" s="60" t="s">
        <v>79</v>
      </c>
      <c r="N197" s="60"/>
      <c r="O197" s="10"/>
    </row>
    <row r="198" spans="1:15" s="58" customFormat="1" ht="15.75">
      <c r="A198" s="49">
        <v>5</v>
      </c>
      <c r="B198" s="47">
        <v>5</v>
      </c>
      <c r="C198" s="65" t="s">
        <v>442</v>
      </c>
      <c r="D198" s="65" t="s">
        <v>443</v>
      </c>
      <c r="E198" s="66"/>
      <c r="F198" s="66"/>
      <c r="G198" s="47"/>
      <c r="H198" s="47"/>
      <c r="I198" s="47"/>
      <c r="J198" s="47"/>
      <c r="K198" s="47"/>
      <c r="L198" s="57" t="s">
        <v>64</v>
      </c>
      <c r="M198" s="57"/>
      <c r="N198" s="60"/>
      <c r="O198" s="12" t="s">
        <v>66</v>
      </c>
    </row>
    <row r="199" spans="1:15" ht="34.5" customHeight="1">
      <c r="A199" s="45">
        <v>5</v>
      </c>
      <c r="B199" s="45" t="s">
        <v>444</v>
      </c>
      <c r="C199" s="50" t="s">
        <v>445</v>
      </c>
      <c r="D199" s="50" t="s">
        <v>446</v>
      </c>
      <c r="E199" s="50"/>
      <c r="F199" s="50"/>
      <c r="G199" s="45"/>
      <c r="H199" s="45"/>
      <c r="I199" s="45"/>
      <c r="J199" s="45"/>
      <c r="K199" s="62"/>
      <c r="L199" s="57" t="s">
        <v>64</v>
      </c>
      <c r="M199" s="57"/>
      <c r="N199" s="60"/>
      <c r="O199" s="10" t="s">
        <v>72</v>
      </c>
    </row>
    <row r="200" spans="1:15" ht="99.75" outlineLevel="1">
      <c r="A200" s="46">
        <v>5</v>
      </c>
      <c r="B200" s="46" t="str">
        <f t="shared" si="10"/>
        <v>5.01010</v>
      </c>
      <c r="C200" s="53" t="s">
        <v>447</v>
      </c>
      <c r="D200" s="53" t="s">
        <v>448</v>
      </c>
      <c r="E200" s="53"/>
      <c r="F200" s="53"/>
      <c r="G200" s="46"/>
      <c r="H200" s="46"/>
      <c r="I200" s="46"/>
      <c r="J200" s="46"/>
      <c r="K200" s="46"/>
      <c r="L200" s="59" t="s">
        <v>78</v>
      </c>
      <c r="M200" s="60"/>
      <c r="N200" s="60"/>
      <c r="O200" s="10"/>
    </row>
    <row r="201" spans="1:15" ht="28.5" customHeight="1" outlineLevel="1">
      <c r="A201" s="96">
        <v>5</v>
      </c>
      <c r="B201" s="96" t="str">
        <f t="shared" si="10"/>
        <v>5.01020</v>
      </c>
      <c r="C201" s="97" t="s">
        <v>449</v>
      </c>
      <c r="D201" s="97" t="s">
        <v>450</v>
      </c>
      <c r="E201" s="54" t="s">
        <v>451</v>
      </c>
      <c r="F201" s="54" t="s">
        <v>452</v>
      </c>
      <c r="G201" s="71"/>
      <c r="H201" s="48"/>
      <c r="I201" s="48"/>
      <c r="J201" s="48"/>
      <c r="K201" s="48"/>
      <c r="L201" s="59" t="s">
        <v>78</v>
      </c>
      <c r="M201" s="60"/>
      <c r="N201" s="60"/>
      <c r="O201" s="10"/>
    </row>
    <row r="202" spans="1:15" ht="28.5" customHeight="1" outlineLevel="1">
      <c r="A202" s="96"/>
      <c r="B202" s="96"/>
      <c r="C202" s="97"/>
      <c r="D202" s="97"/>
      <c r="E202" s="54" t="s">
        <v>427</v>
      </c>
      <c r="F202" s="54" t="s">
        <v>428</v>
      </c>
      <c r="G202" s="48"/>
      <c r="H202" s="48"/>
      <c r="I202" s="48"/>
      <c r="J202" s="48"/>
      <c r="K202" s="48"/>
      <c r="L202" s="59" t="s">
        <v>78</v>
      </c>
      <c r="M202" s="60"/>
      <c r="N202" s="60"/>
      <c r="O202" s="10"/>
    </row>
    <row r="203" spans="1:15" ht="42.75" outlineLevel="1">
      <c r="A203" s="48">
        <v>5</v>
      </c>
      <c r="B203" s="48" t="str">
        <f>SUBSTITUTE(CONCATENATE((_xlfn.NUMBERVALUE(B201,".")+0.0001),IF(RIGHT(B201,2)="90","00","0")),",",".")</f>
        <v>5.01030</v>
      </c>
      <c r="C203" s="55" t="s">
        <v>114</v>
      </c>
      <c r="D203" s="55" t="s">
        <v>85</v>
      </c>
      <c r="E203" s="54" t="s">
        <v>86</v>
      </c>
      <c r="F203" s="54" t="s">
        <v>87</v>
      </c>
      <c r="G203" s="48"/>
      <c r="H203" s="54"/>
      <c r="I203" s="54"/>
      <c r="J203" s="48"/>
      <c r="K203" s="54"/>
      <c r="L203" s="59" t="s">
        <v>78</v>
      </c>
      <c r="N203" s="60"/>
    </row>
    <row r="204" spans="1:15" ht="28.5" customHeight="1" outlineLevel="1">
      <c r="A204" s="96">
        <v>5</v>
      </c>
      <c r="B204" s="96" t="str">
        <f>SUBSTITUTE(CONCATENATE((_xlfn.NUMBERVALUE(B203,".")+0.0001),IF(RIGHT(B203,2)="90","00","0")),",",".")</f>
        <v>5.01040</v>
      </c>
      <c r="C204" s="97" t="s">
        <v>88</v>
      </c>
      <c r="D204" s="97" t="s">
        <v>89</v>
      </c>
      <c r="E204" s="54" t="s">
        <v>90</v>
      </c>
      <c r="F204" s="54" t="s">
        <v>91</v>
      </c>
      <c r="G204" s="48"/>
      <c r="H204" s="54"/>
      <c r="I204" s="54"/>
      <c r="J204" s="48"/>
      <c r="K204" s="54"/>
      <c r="L204" s="59" t="s">
        <v>78</v>
      </c>
      <c r="N204" s="60"/>
    </row>
    <row r="205" spans="1:15" ht="58.5" customHeight="1" outlineLevel="1">
      <c r="A205" s="96"/>
      <c r="B205" s="96"/>
      <c r="C205" s="97"/>
      <c r="D205" s="97"/>
      <c r="E205" s="54" t="s">
        <v>453</v>
      </c>
      <c r="F205" s="54" t="s">
        <v>454</v>
      </c>
      <c r="G205" s="48"/>
      <c r="H205" s="54"/>
      <c r="I205" s="54"/>
      <c r="J205" s="48"/>
      <c r="K205" s="54"/>
      <c r="L205" s="59" t="s">
        <v>78</v>
      </c>
      <c r="N205" s="60"/>
    </row>
    <row r="206" spans="1:15" ht="24" customHeight="1" outlineLevel="1">
      <c r="A206" s="96"/>
      <c r="B206" s="96"/>
      <c r="C206" s="97"/>
      <c r="D206" s="97"/>
      <c r="E206" s="54" t="s">
        <v>455</v>
      </c>
      <c r="F206" s="54" t="s">
        <v>456</v>
      </c>
      <c r="G206" s="48"/>
      <c r="H206" s="54"/>
      <c r="I206" s="54"/>
      <c r="J206" s="48"/>
      <c r="K206" s="54"/>
      <c r="L206" s="59" t="s">
        <v>78</v>
      </c>
      <c r="N206" s="60"/>
    </row>
    <row r="207" spans="1:15" ht="42.75" outlineLevel="1">
      <c r="A207" s="48">
        <v>5</v>
      </c>
      <c r="B207" s="48" t="str">
        <f>SUBSTITUTE(CONCATENATE((_xlfn.NUMBERVALUE(B204,".")+0.0001),IF(RIGHT(B204,2)="90","00","0")),",",".")</f>
        <v>5.01050</v>
      </c>
      <c r="C207" s="55" t="s">
        <v>457</v>
      </c>
      <c r="D207" s="55" t="s">
        <v>458</v>
      </c>
      <c r="E207" s="54" t="s">
        <v>459</v>
      </c>
      <c r="F207" s="54" t="s">
        <v>460</v>
      </c>
      <c r="G207" s="48"/>
      <c r="H207" s="54"/>
      <c r="I207" s="54"/>
      <c r="J207" s="48"/>
      <c r="K207" s="54"/>
      <c r="L207" s="59" t="s">
        <v>78</v>
      </c>
      <c r="N207" s="60"/>
    </row>
    <row r="208" spans="1:15" ht="42.75" outlineLevel="1">
      <c r="A208" s="48">
        <v>5</v>
      </c>
      <c r="B208" s="48" t="str">
        <f>SUBSTITUTE(CONCATENATE((_xlfn.NUMBERVALUE(B207,".")+0.0001),IF(RIGHT(B207,2)="90","00","0")),",",".")</f>
        <v>5.01060</v>
      </c>
      <c r="C208" s="55" t="s">
        <v>88</v>
      </c>
      <c r="D208" s="55" t="s">
        <v>89</v>
      </c>
      <c r="E208" s="54" t="s">
        <v>420</v>
      </c>
      <c r="F208" s="54" t="s">
        <v>421</v>
      </c>
      <c r="G208" s="48"/>
      <c r="H208" s="54"/>
      <c r="I208" s="54"/>
      <c r="J208" s="48"/>
      <c r="K208" s="54"/>
      <c r="L208" s="59" t="s">
        <v>78</v>
      </c>
      <c r="N208" s="60"/>
    </row>
    <row r="209" spans="1:15" ht="28.5" customHeight="1" outlineLevel="1">
      <c r="A209" s="89">
        <v>5</v>
      </c>
      <c r="B209" s="89" t="str">
        <f t="shared" ref="B209:B216" si="11">SUBSTITUTE(CONCATENATE((_xlfn.NUMBERVALUE(B208,".")+0.0001),IF(RIGHT(B208,2)="90","00","0")),",",".")</f>
        <v>5.01070</v>
      </c>
      <c r="C209" s="92" t="s">
        <v>449</v>
      </c>
      <c r="D209" s="92" t="s">
        <v>450</v>
      </c>
      <c r="E209" s="54" t="s">
        <v>451</v>
      </c>
      <c r="F209" s="54" t="s">
        <v>452</v>
      </c>
      <c r="G209" s="48"/>
      <c r="H209" s="54"/>
      <c r="I209" s="54"/>
      <c r="J209" s="48"/>
      <c r="K209" s="54"/>
      <c r="L209" s="59" t="s">
        <v>78</v>
      </c>
      <c r="N209" s="60"/>
    </row>
    <row r="210" spans="1:15" ht="24" customHeight="1" outlineLevel="1">
      <c r="A210" s="90"/>
      <c r="B210" s="90"/>
      <c r="C210" s="98"/>
      <c r="D210" s="98"/>
      <c r="E210" s="54" t="s">
        <v>427</v>
      </c>
      <c r="F210" s="54" t="s">
        <v>428</v>
      </c>
      <c r="G210" s="48"/>
      <c r="H210" s="54"/>
      <c r="I210" s="54"/>
      <c r="J210" s="48"/>
      <c r="K210" s="54"/>
      <c r="L210" s="59" t="s">
        <v>78</v>
      </c>
      <c r="N210" s="60"/>
    </row>
    <row r="211" spans="1:15" ht="42.75" outlineLevel="1">
      <c r="A211" s="48">
        <v>5</v>
      </c>
      <c r="B211" s="48" t="str">
        <f>SUBSTITUTE(CONCATENATE((_xlfn.NUMBERVALUE(B209,".")+0.0001),IF(RIGHT(B209,2)="90","00","0")),",",".")</f>
        <v>5.01080</v>
      </c>
      <c r="C211" s="55" t="s">
        <v>116</v>
      </c>
      <c r="D211" s="55" t="s">
        <v>109</v>
      </c>
      <c r="E211" s="54" t="s">
        <v>110</v>
      </c>
      <c r="F211" s="54" t="s">
        <v>111</v>
      </c>
      <c r="G211" s="48"/>
      <c r="H211" s="54"/>
      <c r="I211" s="54"/>
      <c r="J211" s="48"/>
      <c r="K211" s="54"/>
      <c r="L211" s="59" t="s">
        <v>78</v>
      </c>
      <c r="N211" s="60"/>
    </row>
    <row r="212" spans="1:15" ht="20.25" customHeight="1" outlineLevel="1">
      <c r="A212" s="89">
        <v>5</v>
      </c>
      <c r="B212" s="89" t="str">
        <f t="shared" si="11"/>
        <v>5.01090</v>
      </c>
      <c r="C212" s="97" t="s">
        <v>88</v>
      </c>
      <c r="D212" s="97" t="s">
        <v>89</v>
      </c>
      <c r="E212" s="54" t="s">
        <v>90</v>
      </c>
      <c r="F212" s="54" t="s">
        <v>91</v>
      </c>
      <c r="G212" s="48"/>
      <c r="H212" s="54"/>
      <c r="I212" s="54"/>
      <c r="J212" s="48"/>
      <c r="K212" s="54"/>
      <c r="L212" s="59" t="s">
        <v>78</v>
      </c>
      <c r="N212" s="60"/>
    </row>
    <row r="213" spans="1:15" ht="71.25" outlineLevel="1">
      <c r="A213" s="91"/>
      <c r="B213" s="91"/>
      <c r="C213" s="97"/>
      <c r="D213" s="97"/>
      <c r="E213" s="54" t="s">
        <v>461</v>
      </c>
      <c r="F213" s="54" t="s">
        <v>462</v>
      </c>
      <c r="G213" s="48"/>
      <c r="H213" s="54"/>
      <c r="I213" s="54"/>
      <c r="J213" s="48"/>
      <c r="K213" s="54"/>
      <c r="L213" s="59" t="s">
        <v>78</v>
      </c>
      <c r="N213" s="60"/>
    </row>
    <row r="214" spans="1:15" ht="22.5" customHeight="1" outlineLevel="1">
      <c r="A214" s="90"/>
      <c r="B214" s="90"/>
      <c r="C214" s="97"/>
      <c r="D214" s="97"/>
      <c r="E214" s="54" t="s">
        <v>455</v>
      </c>
      <c r="F214" s="54" t="s">
        <v>456</v>
      </c>
      <c r="G214" s="48"/>
      <c r="H214" s="54"/>
      <c r="I214" s="54"/>
      <c r="J214" s="48"/>
      <c r="K214" s="54"/>
      <c r="L214" s="59" t="s">
        <v>78</v>
      </c>
      <c r="N214" s="60"/>
    </row>
    <row r="215" spans="1:15" ht="42.75" outlineLevel="1">
      <c r="A215" s="48">
        <v>5</v>
      </c>
      <c r="B215" s="48" t="str">
        <f>SUBSTITUTE(CONCATENATE((_xlfn.NUMBERVALUE(B212,".")+0.0001),IF(RIGHT(B212,2)="90","00","0")),",",".")</f>
        <v>5.01100</v>
      </c>
      <c r="C215" s="55" t="s">
        <v>457</v>
      </c>
      <c r="D215" s="55" t="s">
        <v>458</v>
      </c>
      <c r="E215" s="54" t="s">
        <v>459</v>
      </c>
      <c r="F215" s="54" t="s">
        <v>460</v>
      </c>
      <c r="G215" s="48"/>
      <c r="H215" s="54"/>
      <c r="I215" s="54"/>
      <c r="J215" s="48"/>
      <c r="K215" s="54"/>
      <c r="L215" s="59" t="s">
        <v>78</v>
      </c>
      <c r="N215" s="60"/>
    </row>
    <row r="216" spans="1:15" ht="42.75" outlineLevel="1">
      <c r="A216" s="48">
        <v>5</v>
      </c>
      <c r="B216" s="48" t="str">
        <f t="shared" si="11"/>
        <v>5.01110</v>
      </c>
      <c r="C216" s="55" t="s">
        <v>88</v>
      </c>
      <c r="D216" s="55" t="s">
        <v>89</v>
      </c>
      <c r="E216" s="54" t="s">
        <v>420</v>
      </c>
      <c r="F216" s="54" t="s">
        <v>421</v>
      </c>
      <c r="G216" s="48"/>
      <c r="H216" s="54"/>
      <c r="I216" s="54"/>
      <c r="J216" s="48"/>
      <c r="K216" s="54"/>
      <c r="L216" s="59" t="s">
        <v>78</v>
      </c>
      <c r="N216" s="60"/>
    </row>
    <row r="217" spans="1:15" ht="34.5" customHeight="1">
      <c r="A217" s="45">
        <v>5</v>
      </c>
      <c r="B217" s="45" t="s">
        <v>463</v>
      </c>
      <c r="C217" s="50" t="s">
        <v>464</v>
      </c>
      <c r="D217" s="50" t="s">
        <v>465</v>
      </c>
      <c r="E217" s="50"/>
      <c r="F217" s="50"/>
      <c r="G217" s="45"/>
      <c r="H217" s="45"/>
      <c r="I217" s="45"/>
      <c r="J217" s="45"/>
      <c r="K217" s="62"/>
      <c r="L217" s="57" t="s">
        <v>64</v>
      </c>
      <c r="M217" s="57"/>
      <c r="N217" s="60"/>
      <c r="O217" s="10" t="s">
        <v>72</v>
      </c>
    </row>
    <row r="218" spans="1:15" ht="99.75" outlineLevel="1">
      <c r="A218" s="46">
        <v>5</v>
      </c>
      <c r="B218" s="46" t="str">
        <f t="shared" ref="B218:B219" si="12">SUBSTITUTE(CONCATENATE((_xlfn.NUMBERVALUE(B217,".")+0.0001),IF(RIGHT(B217,2)="90","00","0")),",",".")</f>
        <v>5.02010</v>
      </c>
      <c r="C218" s="53" t="s">
        <v>466</v>
      </c>
      <c r="D218" s="53" t="s">
        <v>467</v>
      </c>
      <c r="E218" s="53"/>
      <c r="F218" s="53"/>
      <c r="G218" s="46"/>
      <c r="H218" s="46"/>
      <c r="I218" s="46"/>
      <c r="J218" s="46"/>
      <c r="K218" s="46"/>
      <c r="L218" s="59" t="s">
        <v>78</v>
      </c>
      <c r="M218" s="60"/>
      <c r="N218" s="60"/>
      <c r="O218" s="10"/>
    </row>
    <row r="219" spans="1:15" ht="28.5" customHeight="1" outlineLevel="1">
      <c r="A219" s="96">
        <v>5</v>
      </c>
      <c r="B219" s="96" t="str">
        <f t="shared" si="12"/>
        <v>5.02020</v>
      </c>
      <c r="C219" s="97" t="s">
        <v>449</v>
      </c>
      <c r="D219" s="97" t="s">
        <v>450</v>
      </c>
      <c r="E219" s="54" t="s">
        <v>451</v>
      </c>
      <c r="F219" s="54" t="s">
        <v>452</v>
      </c>
      <c r="G219" s="71"/>
      <c r="H219" s="48"/>
      <c r="I219" s="48"/>
      <c r="J219" s="48"/>
      <c r="K219" s="48"/>
      <c r="L219" s="59" t="s">
        <v>78</v>
      </c>
      <c r="M219" s="60"/>
      <c r="N219" s="60"/>
      <c r="O219" s="10"/>
    </row>
    <row r="220" spans="1:15" ht="28.5" customHeight="1" outlineLevel="1">
      <c r="A220" s="96"/>
      <c r="B220" s="96"/>
      <c r="C220" s="97"/>
      <c r="D220" s="97"/>
      <c r="E220" s="54" t="s">
        <v>427</v>
      </c>
      <c r="F220" s="54" t="s">
        <v>428</v>
      </c>
      <c r="G220" s="48"/>
      <c r="H220" s="48"/>
      <c r="I220" s="48"/>
      <c r="J220" s="48"/>
      <c r="K220" s="48"/>
      <c r="L220" s="59" t="s">
        <v>78</v>
      </c>
      <c r="M220" s="60"/>
      <c r="N220" s="60"/>
      <c r="O220" s="10"/>
    </row>
    <row r="221" spans="1:15" ht="42.75" outlineLevel="1">
      <c r="A221" s="48">
        <v>5</v>
      </c>
      <c r="B221" s="48" t="str">
        <f>SUBSTITUTE(CONCATENATE((_xlfn.NUMBERVALUE(B219,".")+0.0001),IF(RIGHT(B219,2)="90","00","0")),",",".")</f>
        <v>5.02030</v>
      </c>
      <c r="C221" s="55" t="s">
        <v>114</v>
      </c>
      <c r="D221" s="55" t="s">
        <v>85</v>
      </c>
      <c r="E221" s="54" t="s">
        <v>86</v>
      </c>
      <c r="F221" s="54" t="s">
        <v>87</v>
      </c>
      <c r="G221" s="48"/>
      <c r="H221" s="54"/>
      <c r="I221" s="54"/>
      <c r="J221" s="48"/>
      <c r="K221" s="54"/>
      <c r="L221" s="59" t="s">
        <v>78</v>
      </c>
      <c r="N221" s="60"/>
    </row>
    <row r="222" spans="1:15" ht="28.5" customHeight="1" outlineLevel="1">
      <c r="A222" s="96">
        <v>5</v>
      </c>
      <c r="B222" s="96" t="str">
        <f>SUBSTITUTE(CONCATENATE((_xlfn.NUMBERVALUE(B221,".")+0.0001),IF(RIGHT(B221,2)="90","00","0")),",",".")</f>
        <v>5.02040</v>
      </c>
      <c r="C222" s="97" t="s">
        <v>88</v>
      </c>
      <c r="D222" s="97" t="s">
        <v>89</v>
      </c>
      <c r="E222" s="54" t="s">
        <v>90</v>
      </c>
      <c r="F222" s="54" t="s">
        <v>91</v>
      </c>
      <c r="G222" s="48"/>
      <c r="H222" s="54"/>
      <c r="I222" s="54"/>
      <c r="J222" s="48"/>
      <c r="K222" s="54"/>
      <c r="L222" s="59" t="s">
        <v>78</v>
      </c>
      <c r="N222" s="60"/>
    </row>
    <row r="223" spans="1:15" ht="58.5" customHeight="1" outlineLevel="1">
      <c r="A223" s="96"/>
      <c r="B223" s="96"/>
      <c r="C223" s="97"/>
      <c r="D223" s="97"/>
      <c r="E223" s="54" t="s">
        <v>468</v>
      </c>
      <c r="F223" s="54" t="s">
        <v>469</v>
      </c>
      <c r="G223" s="48"/>
      <c r="H223" s="54"/>
      <c r="I223" s="54"/>
      <c r="J223" s="48"/>
      <c r="K223" s="54"/>
      <c r="L223" s="59" t="s">
        <v>78</v>
      </c>
      <c r="N223" s="60"/>
    </row>
    <row r="224" spans="1:15" ht="24" customHeight="1" outlineLevel="1">
      <c r="A224" s="96"/>
      <c r="B224" s="96"/>
      <c r="C224" s="97"/>
      <c r="D224" s="97"/>
      <c r="E224" s="54" t="s">
        <v>455</v>
      </c>
      <c r="F224" s="54" t="s">
        <v>456</v>
      </c>
      <c r="G224" s="48"/>
      <c r="H224" s="54"/>
      <c r="I224" s="54"/>
      <c r="J224" s="48"/>
      <c r="K224" s="54"/>
      <c r="L224" s="59" t="s">
        <v>78</v>
      </c>
      <c r="N224" s="60"/>
    </row>
    <row r="225" spans="1:15" ht="42.75" outlineLevel="1">
      <c r="A225" s="48">
        <v>5</v>
      </c>
      <c r="B225" s="48" t="str">
        <f>SUBSTITUTE(CONCATENATE((_xlfn.NUMBERVALUE(B222,".")+0.0001),IF(RIGHT(B222,2)="90","00","0")),",",".")</f>
        <v>5.02050</v>
      </c>
      <c r="C225" s="55" t="s">
        <v>457</v>
      </c>
      <c r="D225" s="55" t="s">
        <v>458</v>
      </c>
      <c r="E225" s="54" t="s">
        <v>459</v>
      </c>
      <c r="F225" s="54" t="s">
        <v>460</v>
      </c>
      <c r="G225" s="48"/>
      <c r="H225" s="54"/>
      <c r="I225" s="54"/>
      <c r="J225" s="48"/>
      <c r="K225" s="54"/>
      <c r="L225" s="59" t="s">
        <v>78</v>
      </c>
      <c r="N225" s="60"/>
    </row>
    <row r="226" spans="1:15" ht="42.75" outlineLevel="1">
      <c r="A226" s="48">
        <v>5</v>
      </c>
      <c r="B226" s="48" t="str">
        <f>SUBSTITUTE(CONCATENATE((_xlfn.NUMBERVALUE(B225,".")+0.0001),IF(RIGHT(B225,2)="90","00","0")),",",".")</f>
        <v>5.02060</v>
      </c>
      <c r="C226" s="55" t="s">
        <v>88</v>
      </c>
      <c r="D226" s="55" t="s">
        <v>89</v>
      </c>
      <c r="E226" s="54" t="s">
        <v>420</v>
      </c>
      <c r="F226" s="54" t="s">
        <v>421</v>
      </c>
      <c r="G226" s="48"/>
      <c r="H226" s="54"/>
      <c r="I226" s="54"/>
      <c r="J226" s="48"/>
      <c r="K226" s="54"/>
      <c r="L226" s="59" t="s">
        <v>78</v>
      </c>
      <c r="N226" s="60"/>
    </row>
    <row r="227" spans="1:15" ht="28.5" customHeight="1" outlineLevel="1">
      <c r="A227" s="89">
        <v>5</v>
      </c>
      <c r="B227" s="89" t="str">
        <f t="shared" ref="B227:B234" si="13">SUBSTITUTE(CONCATENATE((_xlfn.NUMBERVALUE(B226,".")+0.0001),IF(RIGHT(B226,2)="90","00","0")),",",".")</f>
        <v>5.02070</v>
      </c>
      <c r="C227" s="92" t="s">
        <v>449</v>
      </c>
      <c r="D227" s="92" t="s">
        <v>450</v>
      </c>
      <c r="E227" s="54" t="s">
        <v>451</v>
      </c>
      <c r="F227" s="54" t="s">
        <v>452</v>
      </c>
      <c r="G227" s="48"/>
      <c r="H227" s="54"/>
      <c r="I227" s="54"/>
      <c r="J227" s="48"/>
      <c r="K227" s="54"/>
      <c r="L227" s="59" t="s">
        <v>78</v>
      </c>
      <c r="N227" s="60"/>
    </row>
    <row r="228" spans="1:15" ht="24" customHeight="1" outlineLevel="1">
      <c r="A228" s="90"/>
      <c r="B228" s="90"/>
      <c r="C228" s="98"/>
      <c r="D228" s="98"/>
      <c r="E228" s="54" t="s">
        <v>427</v>
      </c>
      <c r="F228" s="54" t="s">
        <v>428</v>
      </c>
      <c r="G228" s="48"/>
      <c r="H228" s="54"/>
      <c r="I228" s="54"/>
      <c r="J228" s="48"/>
      <c r="K228" s="54"/>
      <c r="L228" s="59" t="s">
        <v>78</v>
      </c>
      <c r="N228" s="60"/>
    </row>
    <row r="229" spans="1:15" ht="42.75" outlineLevel="1">
      <c r="A229" s="48">
        <v>5</v>
      </c>
      <c r="B229" s="48" t="str">
        <f>SUBSTITUTE(CONCATENATE((_xlfn.NUMBERVALUE(B227,".")+0.0001),IF(RIGHT(B227,2)="90","00","0")),",",".")</f>
        <v>5.02080</v>
      </c>
      <c r="C229" s="55" t="s">
        <v>116</v>
      </c>
      <c r="D229" s="55" t="s">
        <v>109</v>
      </c>
      <c r="E229" s="54" t="s">
        <v>110</v>
      </c>
      <c r="F229" s="54" t="s">
        <v>111</v>
      </c>
      <c r="G229" s="48"/>
      <c r="H229" s="54"/>
      <c r="I229" s="54"/>
      <c r="J229" s="48"/>
      <c r="K229" s="54"/>
      <c r="L229" s="59" t="s">
        <v>78</v>
      </c>
      <c r="N229" s="60"/>
    </row>
    <row r="230" spans="1:15" ht="20.25" customHeight="1" outlineLevel="1">
      <c r="A230" s="89">
        <v>5</v>
      </c>
      <c r="B230" s="89" t="str">
        <f t="shared" si="13"/>
        <v>5.02090</v>
      </c>
      <c r="C230" s="97" t="s">
        <v>88</v>
      </c>
      <c r="D230" s="97" t="s">
        <v>89</v>
      </c>
      <c r="E230" s="54" t="s">
        <v>90</v>
      </c>
      <c r="F230" s="54" t="s">
        <v>91</v>
      </c>
      <c r="G230" s="48"/>
      <c r="H230" s="54"/>
      <c r="I230" s="54"/>
      <c r="J230" s="48"/>
      <c r="K230" s="54"/>
      <c r="L230" s="59" t="s">
        <v>78</v>
      </c>
      <c r="N230" s="60"/>
    </row>
    <row r="231" spans="1:15" ht="71.25" outlineLevel="1">
      <c r="A231" s="91"/>
      <c r="B231" s="91"/>
      <c r="C231" s="97"/>
      <c r="D231" s="97"/>
      <c r="E231" s="54" t="s">
        <v>470</v>
      </c>
      <c r="F231" s="54" t="s">
        <v>471</v>
      </c>
      <c r="G231" s="48"/>
      <c r="H231" s="54"/>
      <c r="I231" s="54"/>
      <c r="J231" s="48"/>
      <c r="K231" s="54"/>
      <c r="L231" s="59" t="s">
        <v>78</v>
      </c>
      <c r="N231" s="60"/>
    </row>
    <row r="232" spans="1:15" ht="22.5" customHeight="1" outlineLevel="1">
      <c r="A232" s="90"/>
      <c r="B232" s="90"/>
      <c r="C232" s="97"/>
      <c r="D232" s="97"/>
      <c r="E232" s="54" t="s">
        <v>455</v>
      </c>
      <c r="F232" s="54" t="s">
        <v>456</v>
      </c>
      <c r="G232" s="48"/>
      <c r="H232" s="54"/>
      <c r="I232" s="54"/>
      <c r="J232" s="48"/>
      <c r="K232" s="54"/>
      <c r="L232" s="59" t="s">
        <v>78</v>
      </c>
      <c r="N232" s="60"/>
    </row>
    <row r="233" spans="1:15" ht="42.75" outlineLevel="1">
      <c r="A233" s="48">
        <v>5</v>
      </c>
      <c r="B233" s="48" t="str">
        <f>SUBSTITUTE(CONCATENATE((_xlfn.NUMBERVALUE(B230,".")+0.0001),IF(RIGHT(B230,2)="90","00","0")),",",".")</f>
        <v>5.02100</v>
      </c>
      <c r="C233" s="55" t="s">
        <v>457</v>
      </c>
      <c r="D233" s="55" t="s">
        <v>458</v>
      </c>
      <c r="E233" s="54" t="s">
        <v>459</v>
      </c>
      <c r="F233" s="54" t="s">
        <v>460</v>
      </c>
      <c r="G233" s="48"/>
      <c r="H233" s="54"/>
      <c r="I233" s="54"/>
      <c r="J233" s="48"/>
      <c r="K233" s="54"/>
      <c r="L233" s="59" t="s">
        <v>78</v>
      </c>
      <c r="N233" s="60"/>
    </row>
    <row r="234" spans="1:15" ht="42.75" outlineLevel="1">
      <c r="A234" s="48">
        <v>5</v>
      </c>
      <c r="B234" s="48" t="str">
        <f t="shared" si="13"/>
        <v>5.02110</v>
      </c>
      <c r="C234" s="55" t="s">
        <v>88</v>
      </c>
      <c r="D234" s="55" t="s">
        <v>89</v>
      </c>
      <c r="E234" s="54" t="s">
        <v>420</v>
      </c>
      <c r="F234" s="54" t="s">
        <v>421</v>
      </c>
      <c r="G234" s="48"/>
      <c r="H234" s="54"/>
      <c r="I234" s="54"/>
      <c r="J234" s="48"/>
      <c r="K234" s="54"/>
      <c r="L234" s="59" t="s">
        <v>78</v>
      </c>
      <c r="N234" s="60"/>
    </row>
    <row r="235" spans="1:15" ht="34.5" customHeight="1">
      <c r="A235" s="45">
        <v>5</v>
      </c>
      <c r="B235" s="45" t="s">
        <v>472</v>
      </c>
      <c r="C235" s="50" t="s">
        <v>473</v>
      </c>
      <c r="D235" s="50" t="s">
        <v>474</v>
      </c>
      <c r="E235" s="50"/>
      <c r="F235" s="50"/>
      <c r="G235" s="45"/>
      <c r="H235" s="45"/>
      <c r="I235" s="45"/>
      <c r="J235" s="45"/>
      <c r="K235" s="62" t="s">
        <v>475</v>
      </c>
      <c r="L235" s="57" t="s">
        <v>64</v>
      </c>
      <c r="M235" s="57"/>
      <c r="N235" s="60"/>
      <c r="O235" s="10" t="s">
        <v>72</v>
      </c>
    </row>
    <row r="236" spans="1:15" ht="99.75" outlineLevel="1">
      <c r="A236" s="46">
        <v>5</v>
      </c>
      <c r="B236" s="46" t="str">
        <f t="shared" ref="B236" si="14">SUBSTITUTE(CONCATENATE((_xlfn.NUMBERVALUE(B235,".")+0.0001),IF(RIGHT(B235,2)="90","00","0")),",",".")</f>
        <v>5.03010</v>
      </c>
      <c r="C236" s="53" t="s">
        <v>476</v>
      </c>
      <c r="D236" s="53" t="s">
        <v>477</v>
      </c>
      <c r="E236" s="53"/>
      <c r="F236" s="53"/>
      <c r="G236" s="46"/>
      <c r="H236" s="46"/>
      <c r="I236" s="46"/>
      <c r="J236" s="46"/>
      <c r="K236" s="46"/>
      <c r="L236" s="59" t="s">
        <v>78</v>
      </c>
      <c r="M236" s="60"/>
      <c r="N236" s="60"/>
      <c r="O236" s="10"/>
    </row>
    <row r="237" spans="1:15" ht="24.75" customHeight="1" outlineLevel="1">
      <c r="A237" s="89">
        <v>5</v>
      </c>
      <c r="B237" s="89" t="str">
        <f>SUBSTITUTE(CONCATENATE((_xlfn.NUMBERVALUE(B236,".")+0.0001),IF(RIGHT(B236,2)="90","00","0")),",",".")</f>
        <v>5.03020</v>
      </c>
      <c r="C237" s="92" t="s">
        <v>478</v>
      </c>
      <c r="D237" s="92" t="s">
        <v>479</v>
      </c>
      <c r="E237" s="54" t="s">
        <v>451</v>
      </c>
      <c r="F237" s="54" t="s">
        <v>452</v>
      </c>
      <c r="G237" s="48"/>
      <c r="H237" s="54"/>
      <c r="I237" s="54"/>
      <c r="J237" s="48"/>
      <c r="K237" s="54"/>
      <c r="L237" s="59" t="s">
        <v>78</v>
      </c>
      <c r="N237" s="60"/>
    </row>
    <row r="238" spans="1:15" ht="24.75" customHeight="1" outlineLevel="1">
      <c r="A238" s="91"/>
      <c r="B238" s="91"/>
      <c r="C238" s="93"/>
      <c r="D238" s="93"/>
      <c r="E238" s="54" t="s">
        <v>427</v>
      </c>
      <c r="F238" s="54" t="s">
        <v>428</v>
      </c>
      <c r="G238" s="48"/>
      <c r="H238" s="54"/>
      <c r="I238" s="54"/>
      <c r="J238" s="48"/>
      <c r="K238" s="54"/>
      <c r="L238" s="59" t="s">
        <v>78</v>
      </c>
      <c r="N238" s="60"/>
    </row>
    <row r="239" spans="1:15" ht="24.75" customHeight="1" outlineLevel="1">
      <c r="A239" s="91"/>
      <c r="B239" s="91"/>
      <c r="C239" s="93"/>
      <c r="D239" s="93"/>
      <c r="E239" s="54" t="s">
        <v>480</v>
      </c>
      <c r="F239" s="54" t="s">
        <v>481</v>
      </c>
      <c r="G239" s="71" t="s">
        <v>482</v>
      </c>
      <c r="H239" s="54"/>
      <c r="I239" s="54"/>
      <c r="J239" s="48"/>
      <c r="K239" s="54"/>
      <c r="L239" s="59" t="s">
        <v>115</v>
      </c>
      <c r="N239" s="60"/>
    </row>
    <row r="240" spans="1:15" ht="24.75" customHeight="1" outlineLevel="1">
      <c r="A240" s="90"/>
      <c r="B240" s="90"/>
      <c r="C240" s="98"/>
      <c r="D240" s="98"/>
      <c r="E240" s="54" t="s">
        <v>227</v>
      </c>
      <c r="F240" s="54" t="s">
        <v>228</v>
      </c>
      <c r="G240" s="48" t="s">
        <v>483</v>
      </c>
      <c r="H240" s="54"/>
      <c r="I240" s="54"/>
      <c r="J240" s="48"/>
      <c r="K240" s="54"/>
      <c r="L240" s="59" t="s">
        <v>115</v>
      </c>
      <c r="N240" s="60"/>
    </row>
    <row r="241" spans="1:14" ht="42.75" outlineLevel="1">
      <c r="A241" s="48">
        <v>5</v>
      </c>
      <c r="B241" s="48" t="str">
        <f>SUBSTITUTE(CONCATENATE((_xlfn.NUMBERVALUE(B237,".")+0.0001),IF(RIGHT(B237,2)="90","00","0")),",",".")</f>
        <v>5.03030</v>
      </c>
      <c r="C241" s="55" t="s">
        <v>484</v>
      </c>
      <c r="D241" s="55" t="s">
        <v>485</v>
      </c>
      <c r="E241" s="54" t="s">
        <v>410</v>
      </c>
      <c r="F241" s="54" t="s">
        <v>411</v>
      </c>
      <c r="G241" s="48"/>
      <c r="H241" s="54"/>
      <c r="I241" s="54"/>
      <c r="J241" s="48"/>
      <c r="K241" s="54"/>
      <c r="L241" s="59" t="s">
        <v>78</v>
      </c>
      <c r="N241" s="60"/>
    </row>
    <row r="242" spans="1:14" ht="24" customHeight="1" outlineLevel="1">
      <c r="A242" s="89">
        <v>5</v>
      </c>
      <c r="B242" s="89" t="str">
        <f t="shared" ref="B242" si="15">SUBSTITUTE(CONCATENATE((_xlfn.NUMBERVALUE(B241,".")+0.0001),IF(RIGHT(B241,2)="90","00","0")),",",".")</f>
        <v>5.03040</v>
      </c>
      <c r="C242" s="92" t="s">
        <v>486</v>
      </c>
      <c r="D242" s="92" t="s">
        <v>487</v>
      </c>
      <c r="E242" s="54" t="s">
        <v>488</v>
      </c>
      <c r="F242" s="54" t="s">
        <v>489</v>
      </c>
      <c r="G242" s="48"/>
      <c r="H242" s="54"/>
      <c r="I242" s="54"/>
      <c r="J242" s="48"/>
      <c r="K242" s="54"/>
      <c r="L242" s="59" t="s">
        <v>78</v>
      </c>
      <c r="N242" s="60"/>
    </row>
    <row r="243" spans="1:14" ht="22.15" customHeight="1" outlineLevel="1">
      <c r="A243" s="91"/>
      <c r="B243" s="91"/>
      <c r="C243" s="93"/>
      <c r="D243" s="93"/>
      <c r="E243" s="54" t="s">
        <v>490</v>
      </c>
      <c r="F243" s="54" t="s">
        <v>491</v>
      </c>
      <c r="G243" s="48"/>
      <c r="H243" s="54"/>
      <c r="I243" s="54"/>
      <c r="J243" s="48"/>
      <c r="K243" s="54"/>
      <c r="L243" s="59" t="s">
        <v>78</v>
      </c>
      <c r="N243" s="60"/>
    </row>
    <row r="244" spans="1:14" ht="24.75" customHeight="1" outlineLevel="1">
      <c r="A244" s="90"/>
      <c r="B244" s="90"/>
      <c r="C244" s="98"/>
      <c r="D244" s="98"/>
      <c r="E244" s="54" t="s">
        <v>232</v>
      </c>
      <c r="F244" s="54" t="s">
        <v>233</v>
      </c>
      <c r="G244" s="48"/>
      <c r="H244" s="54"/>
      <c r="I244" s="54"/>
      <c r="J244" s="48"/>
      <c r="K244" s="54"/>
      <c r="L244" s="59" t="s">
        <v>115</v>
      </c>
      <c r="N244" s="60"/>
    </row>
    <row r="245" spans="1:14" ht="28.5" customHeight="1" outlineLevel="1">
      <c r="A245" s="89">
        <v>5</v>
      </c>
      <c r="B245" s="89" t="str">
        <f>SUBSTITUTE(CONCATENATE((_xlfn.NUMBERVALUE(B242,".")+0.0001),IF(RIGHT(B242,2)="90","00","0")),",",".")</f>
        <v>5.03050</v>
      </c>
      <c r="C245" s="92" t="s">
        <v>88</v>
      </c>
      <c r="D245" s="92" t="s">
        <v>89</v>
      </c>
      <c r="E245" s="54" t="s">
        <v>492</v>
      </c>
      <c r="F245" s="54" t="s">
        <v>493</v>
      </c>
      <c r="G245" s="48"/>
      <c r="H245" s="54"/>
      <c r="I245" s="54"/>
      <c r="J245" s="48"/>
      <c r="K245" s="54"/>
      <c r="L245" s="59" t="s">
        <v>78</v>
      </c>
      <c r="N245" s="60"/>
    </row>
    <row r="246" spans="1:14" ht="24.75" customHeight="1" outlineLevel="1">
      <c r="A246" s="90"/>
      <c r="B246" s="90"/>
      <c r="C246" s="98"/>
      <c r="D246" s="98"/>
      <c r="E246" s="54" t="s">
        <v>494</v>
      </c>
      <c r="F246" s="54" t="s">
        <v>495</v>
      </c>
      <c r="G246" s="48"/>
      <c r="H246" s="54"/>
      <c r="I246" s="54"/>
      <c r="J246" s="48"/>
      <c r="K246" s="54"/>
      <c r="L246" s="59" t="s">
        <v>78</v>
      </c>
      <c r="N246" s="60"/>
    </row>
    <row r="247" spans="1:14" ht="24.75" customHeight="1" outlineLevel="1">
      <c r="A247" s="89">
        <v>5</v>
      </c>
      <c r="B247" s="89" t="str">
        <f>SUBSTITUTE(CONCATENATE((_xlfn.NUMBERVALUE(B245,".")+0.0001),IF(RIGHT(B245,2)="90","00","0")),",",".")</f>
        <v>5.03060</v>
      </c>
      <c r="C247" s="92" t="s">
        <v>100</v>
      </c>
      <c r="D247" s="92" t="s">
        <v>101</v>
      </c>
      <c r="E247" s="54" t="s">
        <v>139</v>
      </c>
      <c r="F247" s="54" t="s">
        <v>140</v>
      </c>
      <c r="G247" s="48"/>
      <c r="H247" s="54"/>
      <c r="I247" s="54"/>
      <c r="J247" s="48"/>
      <c r="K247" s="54"/>
      <c r="L247" s="59" t="s">
        <v>78</v>
      </c>
      <c r="N247" s="86"/>
    </row>
    <row r="248" spans="1:14" ht="24.75" customHeight="1" outlineLevel="1">
      <c r="A248" s="90"/>
      <c r="B248" s="90"/>
      <c r="C248" s="98"/>
      <c r="D248" s="98"/>
      <c r="E248" s="54" t="s">
        <v>104</v>
      </c>
      <c r="F248" s="54" t="s">
        <v>105</v>
      </c>
      <c r="G248" s="48"/>
      <c r="H248" s="54"/>
      <c r="I248" s="54"/>
      <c r="J248" s="48"/>
      <c r="K248" s="54"/>
      <c r="L248" s="59" t="s">
        <v>78</v>
      </c>
      <c r="N248" s="86"/>
    </row>
  </sheetData>
  <sheetProtection selectLockedCells="1"/>
  <autoFilter ref="L4:N248" xr:uid="{00000000-0009-0000-0000-000001000000}"/>
  <dataConsolidate/>
  <customSheetViews>
    <customSheetView guid="{875B12CB-D765-4B4E-B887-579DC68A406E}" scale="85" printArea="1" showAutoFilter="1" hiddenRows="1" hiddenColumns="1">
      <pane ySplit="4" topLeftCell="A5" activePane="bottomLeft" state="frozen"/>
      <selection pane="bottomLeft" activeCell="E9" sqref="E9"/>
      <colBreaks count="1" manualBreakCount="1">
        <brk id="10" max="276" man="1"/>
      </colBreaks>
      <pageMargins left="0" right="0" top="0" bottom="0" header="0" footer="0"/>
      <pageSetup paperSize="9" scale="70" fitToHeight="0" orientation="landscape" r:id="rId1"/>
      <headerFooter>
        <oddFooter>&amp;L&amp;C&amp;A &amp;P von &amp;N&amp;R</oddFooter>
      </headerFooter>
      <autoFilter ref="K4:M268" xr:uid="{18D30E68-6815-4FB3-AB61-F3870058D473}"/>
    </customSheetView>
    <customSheetView guid="{679FD0CE-2012-48DA-8FD1-A9E8B9F8F1E8}" scale="85" printArea="1" showAutoFilter="1" hiddenRows="1" hiddenColumns="1">
      <pane ySplit="4" topLeftCell="A5" activePane="bottomLeft" state="frozen"/>
      <selection pane="bottomLeft" activeCell="E1" activeCellId="1" sqref="C1:C1048576 E1:E1048576"/>
      <colBreaks count="1" manualBreakCount="1">
        <brk id="10" max="276" man="1"/>
      </colBreaks>
      <pageMargins left="0" right="0" top="0" bottom="0" header="0" footer="0"/>
      <pageSetup paperSize="9" scale="70" fitToHeight="0" orientation="landscape" r:id="rId2"/>
      <headerFooter>
        <oddFooter>&amp;L&amp;C&amp;A &amp;P von &amp;N&amp;R</oddFooter>
      </headerFooter>
      <autoFilter ref="K4:M268" xr:uid="{C3D537CB-46D4-4177-A1E5-5BD3C866AA17}"/>
    </customSheetView>
    <customSheetView guid="{E42546AF-4D45-4F91-B7CA-C06252817378}" scale="85" printArea="1" showAutoFilter="1">
      <pane ySplit="4" topLeftCell="A5" activePane="bottomLeft" state="frozen"/>
      <selection pane="bottomLeft" activeCell="B1" sqref="B1:F1048576 E1:E1048576"/>
      <colBreaks count="1" manualBreakCount="1">
        <brk id="10" max="276" man="1"/>
      </colBreaks>
      <pageMargins left="0" right="0" top="0" bottom="0" header="0" footer="0"/>
      <pageSetup paperSize="9" scale="70" fitToHeight="0" orientation="landscape" r:id="rId3"/>
      <headerFooter>
        <oddFooter>&amp;L&amp;C&amp;A &amp;P von &amp;N&amp;R</oddFooter>
      </headerFooter>
      <autoFilter ref="K4:M270" xr:uid="{7BBBEC9B-DC58-4176-B870-F61AB33E21A7}"/>
    </customSheetView>
  </customSheetViews>
  <mergeCells count="162">
    <mergeCell ref="D209:D210"/>
    <mergeCell ref="D227:D228"/>
    <mergeCell ref="D237:D240"/>
    <mergeCell ref="D242:D244"/>
    <mergeCell ref="D245:D246"/>
    <mergeCell ref="D247:D248"/>
    <mergeCell ref="D130:D131"/>
    <mergeCell ref="D133:D134"/>
    <mergeCell ref="D136:D137"/>
    <mergeCell ref="D139:D140"/>
    <mergeCell ref="D142:D143"/>
    <mergeCell ref="D145:D146"/>
    <mergeCell ref="D148:D149"/>
    <mergeCell ref="D176:D178"/>
    <mergeCell ref="D193:D195"/>
    <mergeCell ref="D219:D220"/>
    <mergeCell ref="D222:D224"/>
    <mergeCell ref="D230:D232"/>
    <mergeCell ref="D201:D202"/>
    <mergeCell ref="D173:D174"/>
    <mergeCell ref="D190:D191"/>
    <mergeCell ref="D212:D214"/>
    <mergeCell ref="C176:C178"/>
    <mergeCell ref="B176:B178"/>
    <mergeCell ref="A176:A178"/>
    <mergeCell ref="C158:C159"/>
    <mergeCell ref="B158:B159"/>
    <mergeCell ref="A173:A174"/>
    <mergeCell ref="B173:B174"/>
    <mergeCell ref="C173:C174"/>
    <mergeCell ref="A201:A202"/>
    <mergeCell ref="B201:B202"/>
    <mergeCell ref="C201:C202"/>
    <mergeCell ref="A190:A191"/>
    <mergeCell ref="B190:B191"/>
    <mergeCell ref="C190:C191"/>
    <mergeCell ref="A193:A195"/>
    <mergeCell ref="C193:C195"/>
    <mergeCell ref="B247:B248"/>
    <mergeCell ref="A247:A248"/>
    <mergeCell ref="C247:C248"/>
    <mergeCell ref="A219:A220"/>
    <mergeCell ref="B219:B220"/>
    <mergeCell ref="C219:C220"/>
    <mergeCell ref="A222:A224"/>
    <mergeCell ref="B222:B224"/>
    <mergeCell ref="C222:C224"/>
    <mergeCell ref="A227:A228"/>
    <mergeCell ref="B227:B228"/>
    <mergeCell ref="C227:C228"/>
    <mergeCell ref="A230:A232"/>
    <mergeCell ref="B230:B232"/>
    <mergeCell ref="C230:C232"/>
    <mergeCell ref="A237:A240"/>
    <mergeCell ref="B237:B240"/>
    <mergeCell ref="C237:C240"/>
    <mergeCell ref="A242:A244"/>
    <mergeCell ref="B242:B244"/>
    <mergeCell ref="C242:C244"/>
    <mergeCell ref="A245:A246"/>
    <mergeCell ref="B245:B246"/>
    <mergeCell ref="C245:C246"/>
    <mergeCell ref="E1:F1"/>
    <mergeCell ref="C1:D2"/>
    <mergeCell ref="C119:C121"/>
    <mergeCell ref="D119:D121"/>
    <mergeCell ref="B119:B121"/>
    <mergeCell ref="A119:A121"/>
    <mergeCell ref="C122:C124"/>
    <mergeCell ref="D122:D124"/>
    <mergeCell ref="B122:B124"/>
    <mergeCell ref="A122:A124"/>
    <mergeCell ref="D13:D15"/>
    <mergeCell ref="C13:C15"/>
    <mergeCell ref="B13:B15"/>
    <mergeCell ref="A13:A15"/>
    <mergeCell ref="C65:C66"/>
    <mergeCell ref="D65:D66"/>
    <mergeCell ref="B65:B66"/>
    <mergeCell ref="A61:A62"/>
    <mergeCell ref="C61:C62"/>
    <mergeCell ref="D57:D58"/>
    <mergeCell ref="A57:A58"/>
    <mergeCell ref="B57:B58"/>
    <mergeCell ref="C57:C58"/>
    <mergeCell ref="C20:C22"/>
    <mergeCell ref="A133:A134"/>
    <mergeCell ref="B133:B134"/>
    <mergeCell ref="C133:C134"/>
    <mergeCell ref="C125:C127"/>
    <mergeCell ref="B125:B127"/>
    <mergeCell ref="A125:A127"/>
    <mergeCell ref="C41:C43"/>
    <mergeCell ref="B41:B43"/>
    <mergeCell ref="A41:A43"/>
    <mergeCell ref="C47:C49"/>
    <mergeCell ref="B47:B49"/>
    <mergeCell ref="C53:C54"/>
    <mergeCell ref="B53:B54"/>
    <mergeCell ref="A53:A54"/>
    <mergeCell ref="B61:B62"/>
    <mergeCell ref="A65:A66"/>
    <mergeCell ref="A75:A76"/>
    <mergeCell ref="B75:B76"/>
    <mergeCell ref="C75:C76"/>
    <mergeCell ref="A79:A80"/>
    <mergeCell ref="B79:B80"/>
    <mergeCell ref="C79:C80"/>
    <mergeCell ref="C142:C143"/>
    <mergeCell ref="C139:C140"/>
    <mergeCell ref="C136:C137"/>
    <mergeCell ref="C145:C146"/>
    <mergeCell ref="C148:C149"/>
    <mergeCell ref="B148:B149"/>
    <mergeCell ref="A148:A149"/>
    <mergeCell ref="A145:A146"/>
    <mergeCell ref="B145:B146"/>
    <mergeCell ref="A142:A143"/>
    <mergeCell ref="B142:B143"/>
    <mergeCell ref="A139:A140"/>
    <mergeCell ref="B139:B140"/>
    <mergeCell ref="A136:A137"/>
    <mergeCell ref="B136:B137"/>
    <mergeCell ref="D20:D22"/>
    <mergeCell ref="B20:B22"/>
    <mergeCell ref="A20:A22"/>
    <mergeCell ref="A47:A49"/>
    <mergeCell ref="D33:D35"/>
    <mergeCell ref="D41:D43"/>
    <mergeCell ref="D47:D49"/>
    <mergeCell ref="C130:C131"/>
    <mergeCell ref="B130:B131"/>
    <mergeCell ref="A130:A131"/>
    <mergeCell ref="D125:D127"/>
    <mergeCell ref="D53:D54"/>
    <mergeCell ref="D61:D62"/>
    <mergeCell ref="D75:D76"/>
    <mergeCell ref="D79:D80"/>
    <mergeCell ref="B209:B210"/>
    <mergeCell ref="B212:B214"/>
    <mergeCell ref="C33:C35"/>
    <mergeCell ref="A33:A35"/>
    <mergeCell ref="B33:B35"/>
    <mergeCell ref="A71:A72"/>
    <mergeCell ref="B71:B72"/>
    <mergeCell ref="C71:C72"/>
    <mergeCell ref="D71:D72"/>
    <mergeCell ref="C204:C206"/>
    <mergeCell ref="D204:D206"/>
    <mergeCell ref="B204:B206"/>
    <mergeCell ref="A204:A206"/>
    <mergeCell ref="A83:A84"/>
    <mergeCell ref="B83:B84"/>
    <mergeCell ref="D83:D84"/>
    <mergeCell ref="C83:C84"/>
    <mergeCell ref="A158:A159"/>
    <mergeCell ref="D158:D159"/>
    <mergeCell ref="A209:A210"/>
    <mergeCell ref="A212:A214"/>
    <mergeCell ref="C209:C210"/>
    <mergeCell ref="C212:C214"/>
    <mergeCell ref="B193:B195"/>
  </mergeCells>
  <phoneticPr fontId="1" type="noConversion"/>
  <conditionalFormatting sqref="A4">
    <cfRule type="cellIs" priority="3090" stopIfTrue="1" operator="equal">
      <formula>"-"</formula>
    </cfRule>
    <cfRule type="cellIs" dxfId="172" priority="3232" stopIfTrue="1" operator="equal">
      <formula>Doc_Edition</formula>
    </cfRule>
  </conditionalFormatting>
  <conditionalFormatting sqref="C5:D5">
    <cfRule type="cellIs" priority="2955" stopIfTrue="1" operator="equal">
      <formula>"-"</formula>
    </cfRule>
    <cfRule type="cellIs" dxfId="171" priority="2956" stopIfTrue="1" operator="equal">
      <formula>Doc_Edition</formula>
    </cfRule>
  </conditionalFormatting>
  <conditionalFormatting sqref="M102:M104 M111 M153:M154 M156:M157 M113:M115 M160:M162 L183:M185 N86:N168 L180:M180 L172:M174 N180:N185 L169:N169 L173:N179 L186:N187 L189:M191 L190:N197 N188:N189 L51:N67 L69:N85 N170:N172 L201:L216 N6:N49 L219:L234 N198:N248 L237:L248 L118:M150">
    <cfRule type="cellIs" dxfId="170" priority="2496" stopIfTrue="1" operator="equal">
      <formula>"NC"</formula>
    </cfRule>
    <cfRule type="cellIs" dxfId="169" priority="2497" stopIfTrue="1" operator="equal">
      <formula>"NA"</formula>
    </cfRule>
    <cfRule type="cellIs" dxfId="168" priority="2499" stopIfTrue="1" operator="equal">
      <formula>"C"</formula>
    </cfRule>
  </conditionalFormatting>
  <conditionalFormatting sqref="H50:I50 H89:I90 H93:I98 H100:I100 H102:I104 H110:I115 J100:J104 J108:J115 H108:I108 H153:I162 H172:I178 J164:J168 H169:J169 J180:J181 H180:I180 H179:J179 H189:I195 J188:J195 H196:J197 H13:J35 H52:I68 H70:I86 H38:I41 J36:J41 J170:J178 H42:J49 J50:J98 H150:I151 J150:J162 H117:J149">
    <cfRule type="cellIs" dxfId="167" priority="2498" stopIfTrue="1" operator="equal">
      <formula>"x"</formula>
    </cfRule>
  </conditionalFormatting>
  <conditionalFormatting sqref="K102:K104 K111:K115 K153:K154 K156:K157 M112 K160:K162 K51:K67 K69:K85 K172:K178 K180 K189:K195 K197 K13:K35 K37:K49 K118:K150">
    <cfRule type="cellIs" dxfId="166" priority="2500" stopIfTrue="1" operator="equal">
      <formula>"Approved"</formula>
    </cfRule>
  </conditionalFormatting>
  <conditionalFormatting sqref="H51:I51">
    <cfRule type="cellIs" dxfId="165" priority="2425" stopIfTrue="1" operator="equal">
      <formula>"x"</formula>
    </cfRule>
  </conditionalFormatting>
  <conditionalFormatting sqref="L50:N50">
    <cfRule type="cellIs" dxfId="164" priority="2015" stopIfTrue="1" operator="equal">
      <formula>"NC"</formula>
    </cfRule>
    <cfRule type="cellIs" dxfId="163" priority="2016" stopIfTrue="1" operator="equal">
      <formula>"NA"</formula>
    </cfRule>
    <cfRule type="cellIs" dxfId="162" priority="2018" stopIfTrue="1" operator="equal">
      <formula>"C"</formula>
    </cfRule>
  </conditionalFormatting>
  <conditionalFormatting sqref="K50">
    <cfRule type="cellIs" dxfId="161" priority="2019" stopIfTrue="1" operator="equal">
      <formula>"Approved"</formula>
    </cfRule>
  </conditionalFormatting>
  <conditionalFormatting sqref="M91:M98">
    <cfRule type="cellIs" dxfId="160" priority="1120" stopIfTrue="1" operator="equal">
      <formula>"NC"</formula>
    </cfRule>
    <cfRule type="cellIs" dxfId="159" priority="1121" stopIfTrue="1" operator="equal">
      <formula>"NA"</formula>
    </cfRule>
    <cfRule type="cellIs" dxfId="158" priority="1123" stopIfTrue="1" operator="equal">
      <formula>"C"</formula>
    </cfRule>
  </conditionalFormatting>
  <conditionalFormatting sqref="K91:K98">
    <cfRule type="cellIs" dxfId="157" priority="1124" stopIfTrue="1" operator="equal">
      <formula>"Approved"</formula>
    </cfRule>
  </conditionalFormatting>
  <conditionalFormatting sqref="H91:I92">
    <cfRule type="cellIs" dxfId="156" priority="1119" stopIfTrue="1" operator="equal">
      <formula>"x"</formula>
    </cfRule>
  </conditionalFormatting>
  <conditionalFormatting sqref="M90">
    <cfRule type="cellIs" dxfId="155" priority="1114" stopIfTrue="1" operator="equal">
      <formula>"NC"</formula>
    </cfRule>
    <cfRule type="cellIs" dxfId="154" priority="1115" stopIfTrue="1" operator="equal">
      <formula>"NA"</formula>
    </cfRule>
    <cfRule type="cellIs" dxfId="153" priority="1117" stopIfTrue="1" operator="equal">
      <formula>"C"</formula>
    </cfRule>
  </conditionalFormatting>
  <conditionalFormatting sqref="K90">
    <cfRule type="cellIs" dxfId="152" priority="1118" stopIfTrue="1" operator="equal">
      <formula>"Approved"</formula>
    </cfRule>
  </conditionalFormatting>
  <conditionalFormatting sqref="M88:M89">
    <cfRule type="cellIs" dxfId="151" priority="1093" stopIfTrue="1" operator="equal">
      <formula>"NC"</formula>
    </cfRule>
    <cfRule type="cellIs" dxfId="150" priority="1094" stopIfTrue="1" operator="equal">
      <formula>"NA"</formula>
    </cfRule>
    <cfRule type="cellIs" dxfId="149" priority="1096" stopIfTrue="1" operator="equal">
      <formula>"C"</formula>
    </cfRule>
  </conditionalFormatting>
  <conditionalFormatting sqref="K87:K89">
    <cfRule type="cellIs" dxfId="148" priority="1097" stopIfTrue="1" operator="equal">
      <formula>"Approved"</formula>
    </cfRule>
  </conditionalFormatting>
  <conditionalFormatting sqref="H87:I88">
    <cfRule type="cellIs" dxfId="147" priority="1092" stopIfTrue="1" operator="equal">
      <formula>"x"</formula>
    </cfRule>
  </conditionalFormatting>
  <conditionalFormatting sqref="K86">
    <cfRule type="cellIs" dxfId="146" priority="1091" stopIfTrue="1" operator="equal">
      <formula>"Approved"</formula>
    </cfRule>
  </conditionalFormatting>
  <conditionalFormatting sqref="K100">
    <cfRule type="cellIs" dxfId="145" priority="962" stopIfTrue="1" operator="equal">
      <formula>"Approved"</formula>
    </cfRule>
  </conditionalFormatting>
  <conditionalFormatting sqref="C99:D99">
    <cfRule type="cellIs" priority="956" stopIfTrue="1" operator="equal">
      <formula>"-"</formula>
    </cfRule>
    <cfRule type="cellIs" dxfId="144" priority="957" stopIfTrue="1" operator="equal">
      <formula>Doc_Edition</formula>
    </cfRule>
  </conditionalFormatting>
  <conditionalFormatting sqref="K101">
    <cfRule type="cellIs" dxfId="143" priority="955" stopIfTrue="1" operator="equal">
      <formula>"Approved"</formula>
    </cfRule>
  </conditionalFormatting>
  <conditionalFormatting sqref="H101:I101">
    <cfRule type="cellIs" dxfId="142" priority="950" stopIfTrue="1" operator="equal">
      <formula>"x"</formula>
    </cfRule>
  </conditionalFormatting>
  <conditionalFormatting sqref="M110">
    <cfRule type="cellIs" dxfId="141" priority="945" stopIfTrue="1" operator="equal">
      <formula>"NC"</formula>
    </cfRule>
    <cfRule type="cellIs" dxfId="140" priority="946" stopIfTrue="1" operator="equal">
      <formula>"NA"</formula>
    </cfRule>
    <cfRule type="cellIs" dxfId="139" priority="948" stopIfTrue="1" operator="equal">
      <formula>"C"</formula>
    </cfRule>
  </conditionalFormatting>
  <conditionalFormatting sqref="K110">
    <cfRule type="cellIs" dxfId="138" priority="949" stopIfTrue="1" operator="equal">
      <formula>"Approved"</formula>
    </cfRule>
  </conditionalFormatting>
  <conditionalFormatting sqref="K108">
    <cfRule type="cellIs" dxfId="137" priority="944" stopIfTrue="1" operator="equal">
      <formula>"Approved"</formula>
    </cfRule>
  </conditionalFormatting>
  <conditionalFormatting sqref="K109">
    <cfRule type="cellIs" dxfId="136" priority="939" stopIfTrue="1" operator="equal">
      <formula>"Approved"</formula>
    </cfRule>
  </conditionalFormatting>
  <conditionalFormatting sqref="H109:I109">
    <cfRule type="cellIs" dxfId="135" priority="934" stopIfTrue="1" operator="equal">
      <formula>"x"</formula>
    </cfRule>
  </conditionalFormatting>
  <conditionalFormatting sqref="K151">
    <cfRule type="cellIs" dxfId="134" priority="849" stopIfTrue="1" operator="equal">
      <formula>"Approved"</formula>
    </cfRule>
  </conditionalFormatting>
  <conditionalFormatting sqref="K152">
    <cfRule type="cellIs" dxfId="133" priority="855" stopIfTrue="1" operator="equal">
      <formula>"Approved"</formula>
    </cfRule>
  </conditionalFormatting>
  <conditionalFormatting sqref="H152:I152">
    <cfRule type="cellIs" dxfId="132" priority="850" stopIfTrue="1" operator="equal">
      <formula>"x"</formula>
    </cfRule>
  </conditionalFormatting>
  <conditionalFormatting sqref="M158:M159">
    <cfRule type="cellIs" dxfId="131" priority="840" stopIfTrue="1" operator="equal">
      <formula>"NC"</formula>
    </cfRule>
    <cfRule type="cellIs" dxfId="130" priority="841" stopIfTrue="1" operator="equal">
      <formula>"NA"</formula>
    </cfRule>
    <cfRule type="cellIs" dxfId="129" priority="843" stopIfTrue="1" operator="equal">
      <formula>"C"</formula>
    </cfRule>
  </conditionalFormatting>
  <conditionalFormatting sqref="K158:K159">
    <cfRule type="cellIs" dxfId="128" priority="844" stopIfTrue="1" operator="equal">
      <formula>"Approved"</formula>
    </cfRule>
  </conditionalFormatting>
  <conditionalFormatting sqref="M155">
    <cfRule type="cellIs" dxfId="127" priority="829" stopIfTrue="1" operator="equal">
      <formula>"NC"</formula>
    </cfRule>
    <cfRule type="cellIs" dxfId="126" priority="830" stopIfTrue="1" operator="equal">
      <formula>"NA"</formula>
    </cfRule>
    <cfRule type="cellIs" dxfId="125" priority="832" stopIfTrue="1" operator="equal">
      <formula>"C"</formula>
    </cfRule>
  </conditionalFormatting>
  <conditionalFormatting sqref="K155">
    <cfRule type="cellIs" dxfId="124" priority="833" stopIfTrue="1" operator="equal">
      <formula>"Approved"</formula>
    </cfRule>
  </conditionalFormatting>
  <conditionalFormatting sqref="C163:D163">
    <cfRule type="cellIs" priority="400" stopIfTrue="1" operator="equal">
      <formula>"-"</formula>
    </cfRule>
    <cfRule type="cellIs" dxfId="123" priority="401" stopIfTrue="1" operator="equal">
      <formula>Doc_Edition</formula>
    </cfRule>
  </conditionalFormatting>
  <conditionalFormatting sqref="H164:I164 H171:I171">
    <cfRule type="cellIs" dxfId="122" priority="399" stopIfTrue="1" operator="equal">
      <formula>"x"</formula>
    </cfRule>
  </conditionalFormatting>
  <conditionalFormatting sqref="K164">
    <cfRule type="cellIs" dxfId="121" priority="393" stopIfTrue="1" operator="equal">
      <formula>"Approved"</formula>
    </cfRule>
  </conditionalFormatting>
  <conditionalFormatting sqref="M166:M168 M170">
    <cfRule type="cellIs" dxfId="120" priority="395" stopIfTrue="1" operator="equal">
      <formula>"NC"</formula>
    </cfRule>
    <cfRule type="cellIs" dxfId="119" priority="396" stopIfTrue="1" operator="equal">
      <formula>"NA"</formula>
    </cfRule>
    <cfRule type="cellIs" dxfId="118" priority="397" stopIfTrue="1" operator="equal">
      <formula>"C"</formula>
    </cfRule>
  </conditionalFormatting>
  <conditionalFormatting sqref="K165:K168 K170">
    <cfRule type="cellIs" dxfId="117" priority="398" stopIfTrue="1" operator="equal">
      <formula>"Approved"</formula>
    </cfRule>
  </conditionalFormatting>
  <conditionalFormatting sqref="H165:I168 H170:I170">
    <cfRule type="cellIs" dxfId="116" priority="394" stopIfTrue="1" operator="equal">
      <formula>"x"</formula>
    </cfRule>
  </conditionalFormatting>
  <conditionalFormatting sqref="M105 M107">
    <cfRule type="cellIs" dxfId="115" priority="282" stopIfTrue="1" operator="equal">
      <formula>"NC"</formula>
    </cfRule>
    <cfRule type="cellIs" dxfId="114" priority="283" stopIfTrue="1" operator="equal">
      <formula>"NA"</formula>
    </cfRule>
    <cfRule type="cellIs" dxfId="113" priority="285" stopIfTrue="1" operator="equal">
      <formula>"C"</formula>
    </cfRule>
  </conditionalFormatting>
  <conditionalFormatting sqref="H105:J105 H107:J107">
    <cfRule type="cellIs" dxfId="112" priority="284" stopIfTrue="1" operator="equal">
      <formula>"x"</formula>
    </cfRule>
  </conditionalFormatting>
  <conditionalFormatting sqref="K105 K107">
    <cfRule type="cellIs" dxfId="111" priority="286" stopIfTrue="1" operator="equal">
      <formula>"Approved"</formula>
    </cfRule>
  </conditionalFormatting>
  <conditionalFormatting sqref="M106">
    <cfRule type="cellIs" dxfId="110" priority="277" stopIfTrue="1" operator="equal">
      <formula>"NC"</formula>
    </cfRule>
    <cfRule type="cellIs" dxfId="109" priority="278" stopIfTrue="1" operator="equal">
      <formula>"NA"</formula>
    </cfRule>
    <cfRule type="cellIs" dxfId="108" priority="280" stopIfTrue="1" operator="equal">
      <formula>"C"</formula>
    </cfRule>
  </conditionalFormatting>
  <conditionalFormatting sqref="H106:J106">
    <cfRule type="cellIs" dxfId="107" priority="279" stopIfTrue="1" operator="equal">
      <formula>"x"</formula>
    </cfRule>
  </conditionalFormatting>
  <conditionalFormatting sqref="K106">
    <cfRule type="cellIs" dxfId="106" priority="281" stopIfTrue="1" operator="equal">
      <formula>"Approved"</formula>
    </cfRule>
  </conditionalFormatting>
  <conditionalFormatting sqref="L87:M87">
    <cfRule type="cellIs" dxfId="105" priority="265" stopIfTrue="1" operator="equal">
      <formula>"NC"</formula>
    </cfRule>
    <cfRule type="cellIs" dxfId="104" priority="266" stopIfTrue="1" operator="equal">
      <formula>"NA"</formula>
    </cfRule>
    <cfRule type="cellIs" dxfId="103" priority="267" stopIfTrue="1" operator="equal">
      <formula>"C"</formula>
    </cfRule>
  </conditionalFormatting>
  <conditionalFormatting sqref="L101:M101">
    <cfRule type="cellIs" dxfId="102" priority="262" stopIfTrue="1" operator="equal">
      <formula>"NC"</formula>
    </cfRule>
    <cfRule type="cellIs" dxfId="101" priority="263" stopIfTrue="1" operator="equal">
      <formula>"NA"</formula>
    </cfRule>
    <cfRule type="cellIs" dxfId="100" priority="264" stopIfTrue="1" operator="equal">
      <formula>"C"</formula>
    </cfRule>
  </conditionalFormatting>
  <conditionalFormatting sqref="M109">
    <cfRule type="cellIs" dxfId="99" priority="259" stopIfTrue="1" operator="equal">
      <formula>"NC"</formula>
    </cfRule>
    <cfRule type="cellIs" dxfId="98" priority="260" stopIfTrue="1" operator="equal">
      <formula>"NA"</formula>
    </cfRule>
    <cfRule type="cellIs" dxfId="97" priority="261" stopIfTrue="1" operator="equal">
      <formula>"C"</formula>
    </cfRule>
  </conditionalFormatting>
  <conditionalFormatting sqref="L117:M117">
    <cfRule type="cellIs" dxfId="96" priority="256" stopIfTrue="1" operator="equal">
      <formula>"NC"</formula>
    </cfRule>
    <cfRule type="cellIs" dxfId="95" priority="257" stopIfTrue="1" operator="equal">
      <formula>"NA"</formula>
    </cfRule>
    <cfRule type="cellIs" dxfId="94" priority="258" stopIfTrue="1" operator="equal">
      <formula>"C"</formula>
    </cfRule>
  </conditionalFormatting>
  <conditionalFormatting sqref="L152:M152">
    <cfRule type="cellIs" dxfId="93" priority="253" stopIfTrue="1" operator="equal">
      <formula>"NC"</formula>
    </cfRule>
    <cfRule type="cellIs" dxfId="92" priority="254" stopIfTrue="1" operator="equal">
      <formula>"NA"</formula>
    </cfRule>
    <cfRule type="cellIs" dxfId="91" priority="255" stopIfTrue="1" operator="equal">
      <formula>"C"</formula>
    </cfRule>
  </conditionalFormatting>
  <conditionalFormatting sqref="L165:M165">
    <cfRule type="cellIs" dxfId="90" priority="250" stopIfTrue="1" operator="equal">
      <formula>"NC"</formula>
    </cfRule>
    <cfRule type="cellIs" dxfId="89" priority="251" stopIfTrue="1" operator="equal">
      <formula>"NA"</formula>
    </cfRule>
    <cfRule type="cellIs" dxfId="88" priority="252" stopIfTrue="1" operator="equal">
      <formula>"C"</formula>
    </cfRule>
  </conditionalFormatting>
  <conditionalFormatting sqref="J182:J183">
    <cfRule type="cellIs" dxfId="87" priority="246" stopIfTrue="1" operator="equal">
      <formula>"x"</formula>
    </cfRule>
  </conditionalFormatting>
  <conditionalFormatting sqref="K182:K183">
    <cfRule type="cellIs" dxfId="86" priority="245" stopIfTrue="1" operator="equal">
      <formula>"Approved"</formula>
    </cfRule>
  </conditionalFormatting>
  <conditionalFormatting sqref="H182:I183">
    <cfRule type="cellIs" dxfId="85" priority="241" stopIfTrue="1" operator="equal">
      <formula>"x"</formula>
    </cfRule>
  </conditionalFormatting>
  <conditionalFormatting sqref="J187">
    <cfRule type="cellIs" dxfId="84" priority="226" stopIfTrue="1" operator="equal">
      <formula>"x"</formula>
    </cfRule>
  </conditionalFormatting>
  <conditionalFormatting sqref="K187">
    <cfRule type="cellIs" dxfId="83" priority="225" stopIfTrue="1" operator="equal">
      <formula>"Approved"</formula>
    </cfRule>
  </conditionalFormatting>
  <conditionalFormatting sqref="H187:I187">
    <cfRule type="cellIs" dxfId="82" priority="221" stopIfTrue="1" operator="equal">
      <formula>"x"</formula>
    </cfRule>
  </conditionalFormatting>
  <conditionalFormatting sqref="J184">
    <cfRule type="cellIs" dxfId="81" priority="240" stopIfTrue="1" operator="equal">
      <formula>"x"</formula>
    </cfRule>
  </conditionalFormatting>
  <conditionalFormatting sqref="K184">
    <cfRule type="cellIs" dxfId="80" priority="239" stopIfTrue="1" operator="equal">
      <formula>"Approved"</formula>
    </cfRule>
  </conditionalFormatting>
  <conditionalFormatting sqref="H184:I184">
    <cfRule type="cellIs" dxfId="79" priority="235" stopIfTrue="1" operator="equal">
      <formula>"x"</formula>
    </cfRule>
  </conditionalFormatting>
  <conditionalFormatting sqref="H181:I181">
    <cfRule type="cellIs" dxfId="78" priority="234" stopIfTrue="1" operator="equal">
      <formula>"x"</formula>
    </cfRule>
  </conditionalFormatting>
  <conditionalFormatting sqref="J185">
    <cfRule type="cellIs" dxfId="77" priority="232" stopIfTrue="1" operator="equal">
      <formula>"x"</formula>
    </cfRule>
  </conditionalFormatting>
  <conditionalFormatting sqref="K185">
    <cfRule type="cellIs" dxfId="76" priority="231" stopIfTrue="1" operator="equal">
      <formula>"Approved"</formula>
    </cfRule>
  </conditionalFormatting>
  <conditionalFormatting sqref="H185:I185">
    <cfRule type="cellIs" dxfId="75" priority="227" stopIfTrue="1" operator="equal">
      <formula>"x"</formula>
    </cfRule>
  </conditionalFormatting>
  <conditionalFormatting sqref="L182:M182">
    <cfRule type="cellIs" dxfId="74" priority="206" stopIfTrue="1" operator="equal">
      <formula>"NC"</formula>
    </cfRule>
    <cfRule type="cellIs" dxfId="73" priority="207" stopIfTrue="1" operator="equal">
      <formula>"NA"</formula>
    </cfRule>
    <cfRule type="cellIs" dxfId="72" priority="208" stopIfTrue="1" operator="equal">
      <formula>"C"</formula>
    </cfRule>
  </conditionalFormatting>
  <conditionalFormatting sqref="K181">
    <cfRule type="cellIs" dxfId="71" priority="205" stopIfTrue="1" operator="equal">
      <formula>"Approved"</formula>
    </cfRule>
  </conditionalFormatting>
  <conditionalFormatting sqref="L166:L168 L170">
    <cfRule type="cellIs" dxfId="70" priority="202" stopIfTrue="1" operator="equal">
      <formula>"NC"</formula>
    </cfRule>
    <cfRule type="cellIs" dxfId="69" priority="203" stopIfTrue="1" operator="equal">
      <formula>"NA"</formula>
    </cfRule>
    <cfRule type="cellIs" dxfId="68" priority="204" stopIfTrue="1" operator="equal">
      <formula>"C"</formula>
    </cfRule>
  </conditionalFormatting>
  <conditionalFormatting sqref="C116:D116">
    <cfRule type="cellIs" priority="194" stopIfTrue="1" operator="equal">
      <formula>"-"</formula>
    </cfRule>
    <cfRule type="cellIs" dxfId="67" priority="195" stopIfTrue="1" operator="equal">
      <formula>Doc_Edition</formula>
    </cfRule>
  </conditionalFormatting>
  <conditionalFormatting sqref="K117">
    <cfRule type="cellIs" dxfId="66" priority="180" stopIfTrue="1" operator="equal">
      <formula>"Approved"</formula>
    </cfRule>
  </conditionalFormatting>
  <conditionalFormatting sqref="L88:L98">
    <cfRule type="cellIs" dxfId="65" priority="174" stopIfTrue="1" operator="equal">
      <formula>"NC"</formula>
    </cfRule>
    <cfRule type="cellIs" dxfId="64" priority="175" stopIfTrue="1" operator="equal">
      <formula>"NA"</formula>
    </cfRule>
    <cfRule type="cellIs" dxfId="63" priority="176" stopIfTrue="1" operator="equal">
      <formula>"C"</formula>
    </cfRule>
  </conditionalFormatting>
  <conditionalFormatting sqref="J200:J202">
    <cfRule type="cellIs" dxfId="62" priority="173" stopIfTrue="1" operator="equal">
      <formula>"x"</formula>
    </cfRule>
  </conditionalFormatting>
  <conditionalFormatting sqref="M201:M202">
    <cfRule type="cellIs" dxfId="61" priority="169" stopIfTrue="1" operator="equal">
      <formula>"NC"</formula>
    </cfRule>
    <cfRule type="cellIs" dxfId="60" priority="170" stopIfTrue="1" operator="equal">
      <formula>"NA"</formula>
    </cfRule>
    <cfRule type="cellIs" dxfId="59" priority="171" stopIfTrue="1" operator="equal">
      <formula>"C"</formula>
    </cfRule>
  </conditionalFormatting>
  <conditionalFormatting sqref="K200:K202">
    <cfRule type="cellIs" dxfId="58" priority="172" stopIfTrue="1" operator="equal">
      <formula>"Approved"</formula>
    </cfRule>
  </conditionalFormatting>
  <conditionalFormatting sqref="H200:I202">
    <cfRule type="cellIs" dxfId="57" priority="168" stopIfTrue="1" operator="equal">
      <formula>"x"</formula>
    </cfRule>
  </conditionalFormatting>
  <conditionalFormatting sqref="H199:J199">
    <cfRule type="cellIs" dxfId="56" priority="161" stopIfTrue="1" operator="equal">
      <formula>"x"</formula>
    </cfRule>
  </conditionalFormatting>
  <conditionalFormatting sqref="K199">
    <cfRule type="cellIs" dxfId="55" priority="160" stopIfTrue="1" operator="equal">
      <formula>"Approved"</formula>
    </cfRule>
  </conditionalFormatting>
  <conditionalFormatting sqref="L200:M200">
    <cfRule type="cellIs" dxfId="54" priority="151" stopIfTrue="1" operator="equal">
      <formula>"NC"</formula>
    </cfRule>
    <cfRule type="cellIs" dxfId="53" priority="152" stopIfTrue="1" operator="equal">
      <formula>"NA"</formula>
    </cfRule>
    <cfRule type="cellIs" dxfId="52" priority="153" stopIfTrue="1" operator="equal">
      <formula>"C"</formula>
    </cfRule>
  </conditionalFormatting>
  <conditionalFormatting sqref="L102:L107">
    <cfRule type="cellIs" dxfId="51" priority="142" stopIfTrue="1" operator="equal">
      <formula>"NC"</formula>
    </cfRule>
    <cfRule type="cellIs" dxfId="50" priority="143" stopIfTrue="1" operator="equal">
      <formula>"NA"</formula>
    </cfRule>
    <cfRule type="cellIs" dxfId="49" priority="144" stopIfTrue="1" operator="equal">
      <formula>"C"</formula>
    </cfRule>
  </conditionalFormatting>
  <conditionalFormatting sqref="L110">
    <cfRule type="cellIs" dxfId="48" priority="139" stopIfTrue="1" operator="equal">
      <formula>"NC"</formula>
    </cfRule>
    <cfRule type="cellIs" dxfId="47" priority="140" stopIfTrue="1" operator="equal">
      <formula>"NA"</formula>
    </cfRule>
    <cfRule type="cellIs" dxfId="46" priority="141" stopIfTrue="1" operator="equal">
      <formula>"C"</formula>
    </cfRule>
  </conditionalFormatting>
  <conditionalFormatting sqref="L111:L116">
    <cfRule type="cellIs" dxfId="45" priority="136" stopIfTrue="1" operator="equal">
      <formula>"NC"</formula>
    </cfRule>
    <cfRule type="cellIs" dxfId="44" priority="137" stopIfTrue="1" operator="equal">
      <formula>"NA"</formula>
    </cfRule>
    <cfRule type="cellIs" dxfId="43" priority="138" stopIfTrue="1" operator="equal">
      <formula>"C"</formula>
    </cfRule>
  </conditionalFormatting>
  <conditionalFormatting sqref="H69:I69">
    <cfRule type="cellIs" dxfId="42" priority="69" stopIfTrue="1" operator="equal">
      <formula>"x"</formula>
    </cfRule>
  </conditionalFormatting>
  <conditionalFormatting sqref="L68:N68">
    <cfRule type="cellIs" dxfId="41" priority="65" stopIfTrue="1" operator="equal">
      <formula>"NC"</formula>
    </cfRule>
    <cfRule type="cellIs" dxfId="40" priority="66" stopIfTrue="1" operator="equal">
      <formula>"NA"</formula>
    </cfRule>
    <cfRule type="cellIs" dxfId="39" priority="67" stopIfTrue="1" operator="equal">
      <formula>"C"</formula>
    </cfRule>
  </conditionalFormatting>
  <conditionalFormatting sqref="K68">
    <cfRule type="cellIs" dxfId="38" priority="68" stopIfTrue="1" operator="equal">
      <formula>"Approved"</formula>
    </cfRule>
  </conditionalFormatting>
  <conditionalFormatting sqref="H8:I12 H6:I6 J6:J12">
    <cfRule type="cellIs" dxfId="37" priority="63" stopIfTrue="1" operator="equal">
      <formula>"x"</formula>
    </cfRule>
  </conditionalFormatting>
  <conditionalFormatting sqref="K7:K12">
    <cfRule type="cellIs" dxfId="36" priority="60" stopIfTrue="1" operator="equal">
      <formula>"Approved"</formula>
    </cfRule>
  </conditionalFormatting>
  <conditionalFormatting sqref="H7:I7">
    <cfRule type="cellIs" dxfId="35" priority="56" stopIfTrue="1" operator="equal">
      <formula>"x"</formula>
    </cfRule>
  </conditionalFormatting>
  <conditionalFormatting sqref="L153:L162">
    <cfRule type="cellIs" dxfId="34" priority="44" stopIfTrue="1" operator="equal">
      <formula>"NC"</formula>
    </cfRule>
    <cfRule type="cellIs" dxfId="33" priority="45" stopIfTrue="1" operator="equal">
      <formula>"NA"</formula>
    </cfRule>
    <cfRule type="cellIs" dxfId="32" priority="46" stopIfTrue="1" operator="equal">
      <formula>"C"</formula>
    </cfRule>
  </conditionalFormatting>
  <conditionalFormatting sqref="K171">
    <cfRule type="cellIs" dxfId="31" priority="43" stopIfTrue="1" operator="equal">
      <formula>"Approved"</formula>
    </cfRule>
  </conditionalFormatting>
  <conditionalFormatting sqref="K169">
    <cfRule type="cellIs" dxfId="30" priority="36" stopIfTrue="1" operator="equal">
      <formula>"Approved"</formula>
    </cfRule>
  </conditionalFormatting>
  <conditionalFormatting sqref="K179">
    <cfRule type="cellIs" dxfId="29" priority="35" stopIfTrue="1" operator="equal">
      <formula>"Approved"</formula>
    </cfRule>
  </conditionalFormatting>
  <conditionalFormatting sqref="H186:J186">
    <cfRule type="cellIs" dxfId="28" priority="34" stopIfTrue="1" operator="equal">
      <formula>"x"</formula>
    </cfRule>
  </conditionalFormatting>
  <conditionalFormatting sqref="K186">
    <cfRule type="cellIs" dxfId="27" priority="33" stopIfTrue="1" operator="equal">
      <formula>"Approved"</formula>
    </cfRule>
  </conditionalFormatting>
  <conditionalFormatting sqref="H188:I188">
    <cfRule type="cellIs" dxfId="26" priority="32" stopIfTrue="1" operator="equal">
      <formula>"x"</formula>
    </cfRule>
  </conditionalFormatting>
  <conditionalFormatting sqref="K188">
    <cfRule type="cellIs" dxfId="25" priority="31" stopIfTrue="1" operator="equal">
      <formula>"Approved"</formula>
    </cfRule>
  </conditionalFormatting>
  <conditionalFormatting sqref="K196">
    <cfRule type="cellIs" dxfId="24" priority="30" stopIfTrue="1" operator="equal">
      <formula>"Approved"</formula>
    </cfRule>
  </conditionalFormatting>
  <conditionalFormatting sqref="K6">
    <cfRule type="cellIs" dxfId="23" priority="29" stopIfTrue="1" operator="equal">
      <formula>"Approved"</formula>
    </cfRule>
  </conditionalFormatting>
  <conditionalFormatting sqref="H36:I36">
    <cfRule type="cellIs" dxfId="22" priority="28" stopIfTrue="1" operator="equal">
      <formula>"x"</formula>
    </cfRule>
  </conditionalFormatting>
  <conditionalFormatting sqref="H37:I37">
    <cfRule type="cellIs" dxfId="21" priority="26" stopIfTrue="1" operator="equal">
      <formula>"x"</formula>
    </cfRule>
  </conditionalFormatting>
  <conditionalFormatting sqref="K36">
    <cfRule type="cellIs" dxfId="20" priority="25" stopIfTrue="1" operator="equal">
      <formula>"Approved"</formula>
    </cfRule>
  </conditionalFormatting>
  <conditionalFormatting sqref="J236">
    <cfRule type="cellIs" dxfId="19" priority="24" stopIfTrue="1" operator="equal">
      <formula>"x"</formula>
    </cfRule>
  </conditionalFormatting>
  <conditionalFormatting sqref="K236">
    <cfRule type="cellIs" dxfId="18" priority="23" stopIfTrue="1" operator="equal">
      <formula>"Approved"</formula>
    </cfRule>
  </conditionalFormatting>
  <conditionalFormatting sqref="H236:I236">
    <cfRule type="cellIs" dxfId="17" priority="19" stopIfTrue="1" operator="equal">
      <formula>"x"</formula>
    </cfRule>
  </conditionalFormatting>
  <conditionalFormatting sqref="H235:J235">
    <cfRule type="cellIs" dxfId="16" priority="18" stopIfTrue="1" operator="equal">
      <formula>"x"</formula>
    </cfRule>
  </conditionalFormatting>
  <conditionalFormatting sqref="K235">
    <cfRule type="cellIs" dxfId="15" priority="17" stopIfTrue="1" operator="equal">
      <formula>"Approved"</formula>
    </cfRule>
  </conditionalFormatting>
  <conditionalFormatting sqref="L236:M236">
    <cfRule type="cellIs" dxfId="14" priority="14" stopIfTrue="1" operator="equal">
      <formula>"NC"</formula>
    </cfRule>
    <cfRule type="cellIs" dxfId="13" priority="15" stopIfTrue="1" operator="equal">
      <formula>"NA"</formula>
    </cfRule>
    <cfRule type="cellIs" dxfId="12" priority="16" stopIfTrue="1" operator="equal">
      <formula>"C"</formula>
    </cfRule>
  </conditionalFormatting>
  <conditionalFormatting sqref="J218:J220">
    <cfRule type="cellIs" dxfId="11" priority="13" stopIfTrue="1" operator="equal">
      <formula>"x"</formula>
    </cfRule>
  </conditionalFormatting>
  <conditionalFormatting sqref="M219:M220">
    <cfRule type="cellIs" dxfId="10" priority="9" stopIfTrue="1" operator="equal">
      <formula>"NC"</formula>
    </cfRule>
    <cfRule type="cellIs" dxfId="9" priority="10" stopIfTrue="1" operator="equal">
      <formula>"NA"</formula>
    </cfRule>
    <cfRule type="cellIs" dxfId="8" priority="11" stopIfTrue="1" operator="equal">
      <formula>"C"</formula>
    </cfRule>
  </conditionalFormatting>
  <conditionalFormatting sqref="K218:K220">
    <cfRule type="cellIs" dxfId="7" priority="12" stopIfTrue="1" operator="equal">
      <formula>"Approved"</formula>
    </cfRule>
  </conditionalFormatting>
  <conditionalFormatting sqref="H218:I220">
    <cfRule type="cellIs" dxfId="6" priority="8" stopIfTrue="1" operator="equal">
      <formula>"x"</formula>
    </cfRule>
  </conditionalFormatting>
  <conditionalFormatting sqref="H217:J217">
    <cfRule type="cellIs" dxfId="5" priority="7" stopIfTrue="1" operator="equal">
      <formula>"x"</formula>
    </cfRule>
  </conditionalFormatting>
  <conditionalFormatting sqref="K217">
    <cfRule type="cellIs" dxfId="4" priority="6" stopIfTrue="1" operator="equal">
      <formula>"Approved"</formula>
    </cfRule>
  </conditionalFormatting>
  <conditionalFormatting sqref="L218:M218">
    <cfRule type="cellIs" dxfId="3" priority="3" stopIfTrue="1" operator="equal">
      <formula>"NC"</formula>
    </cfRule>
    <cfRule type="cellIs" dxfId="2" priority="4" stopIfTrue="1" operator="equal">
      <formula>"NA"</formula>
    </cfRule>
    <cfRule type="cellIs" dxfId="1" priority="5" stopIfTrue="1" operator="equal">
      <formula>"C"</formula>
    </cfRule>
  </conditionalFormatting>
  <conditionalFormatting sqref="C198:D198">
    <cfRule type="cellIs" priority="1" stopIfTrue="1" operator="equal">
      <formula>"-"</formula>
    </cfRule>
    <cfRule type="cellIs" dxfId="0" priority="2" stopIfTrue="1" operator="equal">
      <formula>Doc_Edition</formula>
    </cfRule>
  </conditionalFormatting>
  <dataValidations count="3">
    <dataValidation type="list" allowBlank="1" showInputMessage="1" showErrorMessage="1" sqref="H3:I3 H91:I98 H87:I89 H109:I115 H152:I154 H101:I107 H156:I162 H172:I180 H51:I67 H69:I85 H218:I234 H7:I35 H165:I170 H182:I187 H37:I49 H236:I1048576 H200:I216 H189:I197" xr:uid="{00000000-0002-0000-0100-000000000000}">
      <formula1>"OK,NOK,N/A"</formula1>
    </dataValidation>
    <dataValidation type="list" allowBlank="1" showInputMessage="1" showErrorMessage="1" sqref="L249:N1048576 M237:N248 M203:N216 M221:N234" xr:uid="{00000000-0002-0000-0100-000001000000}">
      <formula1>"T,R,"</formula1>
    </dataValidation>
    <dataValidation type="list" allowBlank="1" showInputMessage="1" showErrorMessage="1" sqref="L5:L248" xr:uid="{00000000-0002-0000-0100-000002000000}">
      <formula1>"T/R,T,R"</formula1>
    </dataValidation>
  </dataValidations>
  <pageMargins left="0.23622047244094491" right="0.23622047244094491" top="0.74803149606299213" bottom="0.74803149606299213" header="0.31496062992125984" footer="0.31496062992125984"/>
  <pageSetup paperSize="9" scale="61" fitToHeight="0" orientation="landscape" r:id="rId4"/>
  <headerFooter>
    <oddFooter>&amp;L&amp;LANNEX/ D0000006246&amp;C&amp;P of &amp;N&amp;R&amp;R#75.X30.50_00</oddFooter>
  </headerFooter>
  <rowBreaks count="16" manualBreakCount="16">
    <brk id="19" max="10" man="1"/>
    <brk id="35" max="10" man="1"/>
    <brk id="50" max="10" man="1"/>
    <brk id="68" max="10" man="1"/>
    <brk id="86" max="10" man="1"/>
    <brk id="98" max="10" man="1"/>
    <brk id="114" max="10" man="1"/>
    <brk id="115" max="10" man="1"/>
    <brk id="132" max="10" man="1"/>
    <brk id="153" max="10" man="1"/>
    <brk id="162" max="10" man="1"/>
    <brk id="174" max="10" man="1"/>
    <brk id="187" max="10" man="1"/>
    <brk id="197" max="10" man="1"/>
    <brk id="215" max="10" man="1"/>
    <brk id="232" max="10" man="1"/>
  </rowBreaks>
  <drawing r:id="rId5"/>
  <legacyDrawing r:id="rId6"/>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6B0ABE9360C7546AF3A82C0EC4084A8" ma:contentTypeVersion="19" ma:contentTypeDescription="Create a new document." ma:contentTypeScope="" ma:versionID="cad79ab43f6a63eb26c287aaee221832">
  <xsd:schema xmlns:xsd="http://www.w3.org/2001/XMLSchema" xmlns:xs="http://www.w3.org/2001/XMLSchema" xmlns:p="http://schemas.microsoft.com/office/2006/metadata/properties" xmlns:ns2="262b6cd3-8489-4479-ae43-de7ef7bad1fc" xmlns:ns3="d32cad8c-2429-4356-b56d-2266d6493bc8" targetNamespace="http://schemas.microsoft.com/office/2006/metadata/properties" ma:root="true" ma:fieldsID="fc8ed495b848e7fafa3853ef9525218f" ns2:_="" ns3:_="">
    <xsd:import namespace="262b6cd3-8489-4479-ae43-de7ef7bad1fc"/>
    <xsd:import namespace="d32cad8c-2429-4356-b56d-2266d6493bc8"/>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ServiceAutoTags" minOccurs="0"/>
                <xsd:element ref="ns2:MediaServiceGenerationTime" minOccurs="0"/>
                <xsd:element ref="ns2:MediaServiceEventHashCode" minOccurs="0"/>
                <xsd:element ref="ns2:MediaServiceOCR" minOccurs="0"/>
                <xsd:element ref="ns2:MediaServiceLocation" minOccurs="0"/>
                <xsd:element ref="ns2:MediaLengthInSeconds" minOccurs="0"/>
                <xsd:element ref="ns2:lcf76f155ced4ddcb4097134ff3c332f" minOccurs="0"/>
                <xsd:element ref="ns3:TaxCatchAll" minOccurs="0"/>
                <xsd:element ref="ns2:Coment_x002e_IND_x002d_TEST"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62b6cd3-8489-4479-ae43-de7ef7bad1f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Tags" ma:internalName="MediaServiceAutoTags"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Location" ma:index="19" nillable="true" ma:displayName="Location" ma:internalName="MediaServiceLocation" ma:readOnly="true">
      <xsd:simpleType>
        <xsd:restriction base="dms:Text"/>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d80e8668-2b83-4dc3-9a45-1c0d239e176c" ma:termSetId="09814cd3-568e-fe90-9814-8d621ff8fb84" ma:anchorId="fba54fb3-c3e1-fe81-a776-ca4b69148c4d" ma:open="true" ma:isKeyword="false">
      <xsd:complexType>
        <xsd:sequence>
          <xsd:element ref="pc:Terms" minOccurs="0" maxOccurs="1"/>
        </xsd:sequence>
      </xsd:complexType>
    </xsd:element>
    <xsd:element name="Coment_x002e_IND_x002d_TEST" ma:index="24" nillable="true" ma:displayName="Coment. IND-TEST" ma:format="Dropdown" ma:internalName="Coment_x002e_IND_x002d_TEST">
      <xsd:simpleType>
        <xsd:restriction base="dms:Text">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32cad8c-2429-4356-b56d-2266d6493bc8"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d3ee864a-44a4-4919-af18-c1ccac351aee}" ma:internalName="TaxCatchAll" ma:showField="CatchAllData" ma:web="d32cad8c-2429-4356-b56d-2266d6493bc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Coment_x002e_IND_x002d_TEST xmlns="262b6cd3-8489-4479-ae43-de7ef7bad1fc" xsi:nil="true"/>
    <lcf76f155ced4ddcb4097134ff3c332f xmlns="262b6cd3-8489-4479-ae43-de7ef7bad1fc">
      <Terms xmlns="http://schemas.microsoft.com/office/infopath/2007/PartnerControls"/>
    </lcf76f155ced4ddcb4097134ff3c332f>
    <TaxCatchAll xmlns="d32cad8c-2429-4356-b56d-2266d6493bc8" xsi:nil="true"/>
  </documentManagement>
</p:properties>
</file>

<file path=customXml/itemProps1.xml><?xml version="1.0" encoding="utf-8"?>
<ds:datastoreItem xmlns:ds="http://schemas.openxmlformats.org/officeDocument/2006/customXml" ds:itemID="{06C55027-60F3-467E-859D-F7FA084463F3}"/>
</file>

<file path=customXml/itemProps2.xml><?xml version="1.0" encoding="utf-8"?>
<ds:datastoreItem xmlns:ds="http://schemas.openxmlformats.org/officeDocument/2006/customXml" ds:itemID="{E20F5D1B-CD1B-49C7-A21E-DA95991ACDA3}"/>
</file>

<file path=customXml/itemProps3.xml><?xml version="1.0" encoding="utf-8"?>
<ds:datastoreItem xmlns:ds="http://schemas.openxmlformats.org/officeDocument/2006/customXml" ds:itemID="{1BC65B2E-89CF-4DEB-95D5-76B093936B0F}"/>
</file>

<file path=customXml/itemProps4.xml><?xml version="1.0" encoding="utf-8"?>
<ds:datastoreItem xmlns:ds="http://schemas.openxmlformats.org/officeDocument/2006/customXml" ds:itemID="{25189A2B-1141-42B0-867B-DB5A1A8CEFC8}"/>
</file>

<file path=docProps/app.xml><?xml version="1.0" encoding="utf-8"?>
<Properties xmlns="http://schemas.openxmlformats.org/officeDocument/2006/extended-properties" xmlns:vt="http://schemas.openxmlformats.org/officeDocument/2006/docPropsVTypes">
  <Application>Microsoft Excel Online</Application>
  <Manager/>
  <Company>CAF-ZARAGOZA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sanchez_o</dc:creator>
  <cp:keywords/>
  <dc:description/>
  <cp:lastModifiedBy>VICTOR SEVILLANO GAMARRA</cp:lastModifiedBy>
  <cp:revision/>
  <dcterms:created xsi:type="dcterms:W3CDTF">2007-05-15T15:19:26Z</dcterms:created>
  <dcterms:modified xsi:type="dcterms:W3CDTF">2024-02-23T11:19:52Z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0x010100C6B0ABE9360C7546AF3A82C0EC4084A8</vt:lpwstr>
  </property>
</Properties>
</file>